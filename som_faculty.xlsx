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https://ucirvine.sharepoint.com/sites/BioSci-Contracts&amp;Grants-Team/Shared Documents/BioSci Research Development/Faculty-Keyword-Inventory-Project/faculty-mapped-mesh-terms/"/>
    </mc:Choice>
  </mc:AlternateContent>
  <xr:revisionPtr revIDLastSave="304" documentId="8_{0C8543E5-90DC-4A92-815F-CFFBF72AEE53}" xr6:coauthVersionLast="47" xr6:coauthVersionMax="47" xr10:uidLastSave="{3CE51759-159B-4841-8309-C51085DAA072}"/>
  <bookViews>
    <workbookView xWindow="28800" yWindow="-3100" windowWidth="40960" windowHeight="21100" activeTab="1" xr2:uid="{AC60631A-583D-4754-9309-634E41C5D76D}"/>
  </bookViews>
  <sheets>
    <sheet name="Academic Employee - General (1)" sheetId="1" r:id="rId1"/>
    <sheet name="senate_faculty" sheetId="2" r:id="rId2"/>
  </sheets>
  <definedNames>
    <definedName name="_xlnm._FilterDatabase" localSheetId="0" hidden="1">'Academic Employee - General (1)'!$A$1:$P$117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7" i="1" l="1"/>
  <c r="E117" i="1" s="1"/>
  <c r="D116" i="1"/>
  <c r="E116" i="1" s="1"/>
  <c r="D115" i="1"/>
  <c r="E115" i="1" s="1"/>
  <c r="D114" i="1"/>
  <c r="E114" i="1" s="1"/>
  <c r="D112" i="1"/>
  <c r="E112" i="1" s="1"/>
  <c r="D111" i="1"/>
  <c r="E111" i="1" s="1"/>
  <c r="D106" i="1"/>
  <c r="E106" i="1" s="1"/>
  <c r="D103" i="1"/>
  <c r="E103" i="1" s="1"/>
  <c r="D102" i="1"/>
  <c r="E102" i="1" s="1"/>
  <c r="D101" i="1"/>
  <c r="E101" i="1" s="1"/>
  <c r="D100" i="1"/>
  <c r="E100" i="1" s="1"/>
  <c r="D97" i="1"/>
  <c r="E97" i="1" s="1"/>
  <c r="D95" i="1"/>
  <c r="E95" i="1" s="1"/>
  <c r="D94" i="1"/>
  <c r="E94" i="1" s="1"/>
  <c r="D90" i="1"/>
  <c r="E90" i="1" s="1"/>
  <c r="D89" i="1"/>
  <c r="E89" i="1" s="1"/>
  <c r="D88" i="1"/>
  <c r="E88" i="1" s="1"/>
  <c r="D86" i="1"/>
  <c r="E86" i="1" s="1"/>
  <c r="D85" i="1"/>
  <c r="E85" i="1" s="1"/>
  <c r="D84" i="1"/>
  <c r="E84" i="1" s="1"/>
  <c r="D83" i="1"/>
  <c r="E83" i="1" s="1"/>
  <c r="D79" i="1"/>
  <c r="E79" i="1" s="1"/>
  <c r="D78" i="1"/>
  <c r="E78" i="1" s="1"/>
  <c r="D77" i="1"/>
  <c r="E77" i="1" s="1"/>
  <c r="D76" i="1"/>
  <c r="E76" i="1" s="1"/>
  <c r="D74" i="1"/>
  <c r="E74" i="1" s="1"/>
  <c r="D73" i="1"/>
  <c r="E73" i="1" s="1"/>
  <c r="D71" i="1"/>
  <c r="E71" i="1" s="1"/>
  <c r="D69" i="1"/>
  <c r="E69" i="1" s="1"/>
  <c r="D68" i="1"/>
  <c r="E68" i="1" s="1"/>
  <c r="D66" i="1"/>
  <c r="E66" i="1" s="1"/>
  <c r="D64" i="1"/>
  <c r="E64" i="1" s="1"/>
  <c r="D63" i="1"/>
  <c r="E63" i="1" s="1"/>
  <c r="D61" i="1"/>
  <c r="E61" i="1" s="1"/>
  <c r="D60" i="1"/>
  <c r="E60" i="1" s="1"/>
  <c r="D58" i="1"/>
  <c r="E58" i="1" s="1"/>
  <c r="D56" i="1"/>
  <c r="E56" i="1" s="1"/>
  <c r="D55" i="1"/>
  <c r="E55" i="1" s="1"/>
  <c r="D53" i="1"/>
  <c r="E53" i="1" s="1"/>
  <c r="D51" i="1"/>
  <c r="E51" i="1" s="1"/>
  <c r="D50" i="1"/>
  <c r="E50" i="1" s="1"/>
  <c r="D49" i="1"/>
  <c r="E49" i="1" s="1"/>
  <c r="D47" i="1"/>
  <c r="E47" i="1" s="1"/>
  <c r="D45" i="1"/>
  <c r="E45" i="1" s="1"/>
  <c r="D43" i="1"/>
  <c r="E43" i="1" s="1"/>
  <c r="D41" i="1"/>
  <c r="E41" i="1" s="1"/>
  <c r="D40" i="1"/>
  <c r="E40" i="1" s="1"/>
  <c r="D39" i="1"/>
  <c r="E39" i="1" s="1"/>
  <c r="D37" i="1"/>
  <c r="E37" i="1" s="1"/>
  <c r="D35" i="1"/>
  <c r="E35" i="1" s="1"/>
  <c r="D33" i="1"/>
  <c r="E33" i="1" s="1"/>
  <c r="D31" i="1"/>
  <c r="E31" i="1" s="1"/>
  <c r="D27" i="1"/>
  <c r="E27" i="1" s="1"/>
  <c r="D25" i="1"/>
  <c r="E25" i="1" s="1"/>
  <c r="D23" i="1"/>
  <c r="E23" i="1" s="1"/>
  <c r="D19" i="1"/>
  <c r="E19" i="1" s="1"/>
  <c r="D16" i="1"/>
  <c r="E16" i="1" s="1"/>
  <c r="D15" i="1"/>
  <c r="E15" i="1" s="1"/>
  <c r="D12" i="1"/>
  <c r="E12" i="1" s="1"/>
  <c r="D11" i="1"/>
  <c r="E11" i="1" s="1"/>
  <c r="D9" i="1"/>
  <c r="E9" i="1" s="1"/>
  <c r="D8" i="1"/>
  <c r="E8" i="1" s="1"/>
  <c r="D7" i="1"/>
  <c r="E7" i="1" s="1"/>
  <c r="D6" i="1"/>
  <c r="E6" i="1" s="1"/>
  <c r="D4" i="1"/>
  <c r="E4" i="1" s="1"/>
  <c r="D2" i="1"/>
  <c r="E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tc={33C1E616-C96E-094A-8EAD-C5C95106E9E3}</author>
    <author>tc={359E470E-E02D-194F-ABB0-7563A0B01D7C}</author>
  </authors>
  <commentList>
    <comment ref="C64" authorId="0" shapeId="0" xr:uid="{33C1E616-C96E-094A-8EAD-C5C95106E9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New to UCI. Probably need to use previous affiliation in search. </t>
      </text>
    </comment>
    <comment ref="C86" authorId="1" shapeId="0" xr:uid="{359E470E-E02D-194F-ABB0-7563A0B01D7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to UCI. Did PhD at UW-Madison.</t>
      </text>
    </comment>
  </commentList>
</comments>
</file>

<file path=xl/sharedStrings.xml><?xml version="1.0" encoding="utf-8"?>
<sst xmlns="http://schemas.openxmlformats.org/spreadsheetml/2006/main" count="1713" uniqueCount="352">
  <si>
    <t>UCPath Department Desc</t>
  </si>
  <si>
    <t>Job Indicator</t>
  </si>
  <si>
    <t>DSS Job Group Academic Affairs</t>
  </si>
  <si>
    <t>Job Code</t>
  </si>
  <si>
    <t>Job Code Desc</t>
  </si>
  <si>
    <t>HR Status</t>
  </si>
  <si>
    <t>Hire Date</t>
  </si>
  <si>
    <t>Termination Date</t>
  </si>
  <si>
    <t>001 - Latest Updated Date</t>
  </si>
  <si>
    <t>FTE</t>
  </si>
  <si>
    <t>Anatomy</t>
  </si>
  <si>
    <t>Acharya, Munjal Mahendra</t>
  </si>
  <si>
    <t>Acharya MM</t>
  </si>
  <si>
    <t>Anatomy &amp; Neurobiology</t>
  </si>
  <si>
    <t>P</t>
  </si>
  <si>
    <t>Senate Faculty</t>
  </si>
  <si>
    <t>ASSOC PROF-HCOMP</t>
  </si>
  <si>
    <t>A</t>
  </si>
  <si>
    <t>Radiation Oncology</t>
  </si>
  <si>
    <t>S</t>
  </si>
  <si>
    <t>Calof, Anne L</t>
  </si>
  <si>
    <t>Calof AL</t>
  </si>
  <si>
    <t>0000-0003-3676-2499</t>
  </si>
  <si>
    <t>PROF-HCOMP</t>
  </si>
  <si>
    <t>Developmental &amp; Cell Biology</t>
  </si>
  <si>
    <t>Chen, Lulu Y</t>
  </si>
  <si>
    <t>Chen LY</t>
  </si>
  <si>
    <t>0000-0002-8873-3481</t>
  </si>
  <si>
    <t>ASST PROF-HCOMP</t>
  </si>
  <si>
    <t>Diaz Alonso, Javier</t>
  </si>
  <si>
    <t>Diaz-Alonso J</t>
  </si>
  <si>
    <t>Ewell, Laura Ann</t>
  </si>
  <si>
    <t>Ewell L</t>
  </si>
  <si>
    <t>0000-0002-1638-426X</t>
  </si>
  <si>
    <t>Gall, Christine M</t>
  </si>
  <si>
    <t>Gall CM</t>
  </si>
  <si>
    <t>0000-0002-7727-796X</t>
  </si>
  <si>
    <t>Neurobiology &amp; Behavior</t>
  </si>
  <si>
    <t>Hunt, Robert Francis</t>
  </si>
  <si>
    <t>Hunt RF</t>
  </si>
  <si>
    <t>0000-0003-4490-8718</t>
  </si>
  <si>
    <t>Igarashi, Kei</t>
  </si>
  <si>
    <t>Igarashi KM</t>
  </si>
  <si>
    <t>0000-0002-5635-169X</t>
  </si>
  <si>
    <t>Biomedical Engineering</t>
  </si>
  <si>
    <t>Jung, Kwang M</t>
  </si>
  <si>
    <t>Jung KM</t>
  </si>
  <si>
    <t>0000-0003-4096-6953</t>
  </si>
  <si>
    <t>Non-Senate Faculty</t>
  </si>
  <si>
    <t>ASSOC ADJ PROF-HCOMP</t>
  </si>
  <si>
    <t>Lyon, David Christian</t>
  </si>
  <si>
    <t>Lyon DC</t>
  </si>
  <si>
    <t>0000-0002-4367-5636</t>
  </si>
  <si>
    <t>Piomelli, Daniele</t>
  </si>
  <si>
    <t>Piomelli D</t>
  </si>
  <si>
    <t>0000-0002-2983-774X</t>
  </si>
  <si>
    <t>Biological Chemistry</t>
  </si>
  <si>
    <t>Pharmaceutical Science</t>
  </si>
  <si>
    <t>Reinkensmeyer, David J</t>
  </si>
  <si>
    <t>Reinkensmeyer DJ</t>
  </si>
  <si>
    <t>BME Department Accounts</t>
  </si>
  <si>
    <t>Mechanical &amp; Aerospace Engr</t>
  </si>
  <si>
    <t>Physical Med &amp; Rehabilitation</t>
  </si>
  <si>
    <t>Steward, Oswald</t>
  </si>
  <si>
    <t>Steward O</t>
  </si>
  <si>
    <t>0000-0001-7069-8756</t>
  </si>
  <si>
    <t>Watanabe Kuwata, Momoko</t>
  </si>
  <si>
    <t>Watanabe M</t>
  </si>
  <si>
    <t>0000-0001-5014-2849</t>
  </si>
  <si>
    <t>Wikenheiser, Jamie</t>
  </si>
  <si>
    <t>Wikenheiser J</t>
  </si>
  <si>
    <t>ADJ PROF-HCOMP</t>
  </si>
  <si>
    <t>Xu, Xiangmin</t>
  </si>
  <si>
    <t>Xu X</t>
  </si>
  <si>
    <t>0000-0002-5828-1533</t>
  </si>
  <si>
    <t>0000-0002-5828-1534</t>
  </si>
  <si>
    <t>0000-0002-5828-1535</t>
  </si>
  <si>
    <t>Computer Science</t>
  </si>
  <si>
    <t>0000-0002-5828-1536</t>
  </si>
  <si>
    <t>Microbio &amp; Molecular Genetics</t>
  </si>
  <si>
    <t>Buisson, Remi</t>
  </si>
  <si>
    <t>Buisson R</t>
  </si>
  <si>
    <t>0000-0002-7196-8209</t>
  </si>
  <si>
    <t>Dai, Xing</t>
  </si>
  <si>
    <t>Dai X</t>
  </si>
  <si>
    <t>0000-0001-8134-1365</t>
  </si>
  <si>
    <t>Dermatology</t>
  </si>
  <si>
    <t>Donovan, Peter J</t>
  </si>
  <si>
    <t>Donovan PJ</t>
  </si>
  <si>
    <t>0000-0003-2557-664X</t>
  </si>
  <si>
    <t>Jang, Cholsoon</t>
  </si>
  <si>
    <t>Jang C</t>
  </si>
  <si>
    <t>0000-0001-6651-4213</t>
  </si>
  <si>
    <t>DOM Endocrinology</t>
  </si>
  <si>
    <t>Kaiser, Peter</t>
  </si>
  <si>
    <t>Kaiser P</t>
  </si>
  <si>
    <t>Kessenbrock, Kai</t>
  </si>
  <si>
    <t>Kessenbrock K</t>
  </si>
  <si>
    <t>Li, Wei</t>
  </si>
  <si>
    <t>Li W</t>
  </si>
  <si>
    <t>Liu, Haoping</t>
  </si>
  <si>
    <t>Liu H</t>
  </si>
  <si>
    <t>Marazzi, Ivan</t>
  </si>
  <si>
    <t>Marazzi I</t>
  </si>
  <si>
    <t>Pathology</t>
  </si>
  <si>
    <t>Masri, Selma</t>
  </si>
  <si>
    <t>Masri S</t>
  </si>
  <si>
    <t>0000-0002-8619-8331</t>
  </si>
  <si>
    <t>Ng, Stanley Wai Kwong</t>
  </si>
  <si>
    <t>Ng SW</t>
  </si>
  <si>
    <t>0009-0009-0354-8454</t>
  </si>
  <si>
    <t>Qiao, Feng</t>
  </si>
  <si>
    <t>Qiao F</t>
  </si>
  <si>
    <t>Sandmeyer, Suzanne B</t>
  </si>
  <si>
    <t>Sandmeyer SB</t>
  </si>
  <si>
    <t>Seldin, Marcus Michael</t>
  </si>
  <si>
    <t>Seldin M</t>
  </si>
  <si>
    <t>Steele, Robert E</t>
  </si>
  <si>
    <t>Steele RE</t>
  </si>
  <si>
    <t>0000-0001-5355-1656</t>
  </si>
  <si>
    <t>Yokomori, Kyoko</t>
  </si>
  <si>
    <t>Yokomori K</t>
  </si>
  <si>
    <t>Microbiology</t>
  </si>
  <si>
    <t>Baker, Nicholas Edward</t>
  </si>
  <si>
    <t>Baker NE</t>
  </si>
  <si>
    <t>Barbour, Alan G</t>
  </si>
  <si>
    <t>Barbour AG</t>
  </si>
  <si>
    <t>0000-0002-0719-5248</t>
  </si>
  <si>
    <t>Ecology &amp; Evolutionary Biology</t>
  </si>
  <si>
    <t>Borrelli, Emilia</t>
  </si>
  <si>
    <t>Borrelli E</t>
  </si>
  <si>
    <t>0000-0002-1813-2541</t>
  </si>
  <si>
    <t>Burke, Thomas P</t>
  </si>
  <si>
    <t>Burke TP</t>
  </si>
  <si>
    <t>Byun, Minji</t>
  </si>
  <si>
    <t>Goldin, Alan L</t>
  </si>
  <si>
    <t>Goldin AL</t>
  </si>
  <si>
    <t>0000-0001-7159-0288</t>
  </si>
  <si>
    <t>Physiology &amp; Biophysics</t>
  </si>
  <si>
    <t>Hertel, Klemens J</t>
  </si>
  <si>
    <t>Hertel KJ</t>
  </si>
  <si>
    <t>0000-0002-7560-9529</t>
  </si>
  <si>
    <t>James, Anthony A</t>
  </si>
  <si>
    <t>James AA</t>
  </si>
  <si>
    <t>Molecular Bio &amp; Biochemistry</t>
  </si>
  <si>
    <t>Koyuncu, Orkide</t>
  </si>
  <si>
    <t>Koyuncu OO</t>
  </si>
  <si>
    <t>Marsden, Matthew D</t>
  </si>
  <si>
    <t>Marsden MD</t>
  </si>
  <si>
    <t>DOM Infectious Diseases</t>
  </si>
  <si>
    <t>Mcclelland, Michael</t>
  </si>
  <si>
    <t>McClelland M</t>
  </si>
  <si>
    <t>0000-0003-1788-9347</t>
  </si>
  <si>
    <t>Semler, Bert L</t>
  </si>
  <si>
    <t>Semler BL</t>
  </si>
  <si>
    <t>Shi, Yongsheng</t>
  </si>
  <si>
    <t>Shi Y</t>
  </si>
  <si>
    <t>0000-0003-2967-1230</t>
  </si>
  <si>
    <t>Tan, Ming</t>
  </si>
  <si>
    <t>Tan M</t>
  </si>
  <si>
    <t>Physiology and Biophysics</t>
  </si>
  <si>
    <t>Abbott, Geoffrey Winston</t>
  </si>
  <si>
    <t>Abbott GW</t>
  </si>
  <si>
    <t>Beier, Kevin T</t>
  </si>
  <si>
    <t>Beier KT</t>
  </si>
  <si>
    <t>0000-0002-4934-1338</t>
  </si>
  <si>
    <t>0000-0002-4934-1339</t>
  </si>
  <si>
    <t>0000-0002-4934-1340</t>
  </si>
  <si>
    <t>0000-0002-4934-1341</t>
  </si>
  <si>
    <t>Cahalan, Michael</t>
  </si>
  <si>
    <t>Cahalan MD</t>
  </si>
  <si>
    <t>Davies, David Huw</t>
  </si>
  <si>
    <t>Davies DH</t>
  </si>
  <si>
    <t>ASSOC PROF IN RES-HCOMP</t>
  </si>
  <si>
    <t>Eguchi, Asuka</t>
  </si>
  <si>
    <t>0000-0003-3010-0275</t>
  </si>
  <si>
    <t>Felgner, Philip</t>
  </si>
  <si>
    <t>Felgner PL</t>
  </si>
  <si>
    <t>0000-0002-4117-8505</t>
  </si>
  <si>
    <t>PROF IN RES-HCOMP</t>
  </si>
  <si>
    <t>Hicks, Michael Ryan</t>
  </si>
  <si>
    <t>Hicks MR</t>
  </si>
  <si>
    <t>Holmes, Todd C</t>
  </si>
  <si>
    <t>Holmes TC</t>
  </si>
  <si>
    <t>0000-0001-8152-8832</t>
  </si>
  <si>
    <t>Huang, Lan</t>
  </si>
  <si>
    <t>Huang L</t>
  </si>
  <si>
    <t>0000-0002-3140-4687</t>
  </si>
  <si>
    <t>0000-0002-3140-4688</t>
  </si>
  <si>
    <t>0000-0002-3140-4689</t>
  </si>
  <si>
    <t>0000-0002-3140-4690</t>
  </si>
  <si>
    <t>Jin, Rongsheng</t>
  </si>
  <si>
    <t>Jin R</t>
  </si>
  <si>
    <t>Jusiak, Barbara</t>
  </si>
  <si>
    <t>Jusiak B</t>
  </si>
  <si>
    <t>Kiser, Philip</t>
  </si>
  <si>
    <t>Kiser PD</t>
  </si>
  <si>
    <t>0000-0003-1184-9539</t>
  </si>
  <si>
    <t>Clinical Pharmacy Practice</t>
  </si>
  <si>
    <t>0000-0003-1184-9540</t>
  </si>
  <si>
    <t>Ophth Clinical</t>
  </si>
  <si>
    <t>0000-0003-1184-9541</t>
  </si>
  <si>
    <t>Lawson, Devon A</t>
  </si>
  <si>
    <t>Lawson DA</t>
  </si>
  <si>
    <t>0000-0003-1692-0517</t>
  </si>
  <si>
    <t>Marangoni, Francesco</t>
  </si>
  <si>
    <t>Marangoni F</t>
  </si>
  <si>
    <t>Othy, Shivashankar</t>
  </si>
  <si>
    <t>Othy S</t>
  </si>
  <si>
    <t>0000-0001-6832-5547</t>
  </si>
  <si>
    <t>Panicker, Mitradas M</t>
  </si>
  <si>
    <t>Panicker MM</t>
  </si>
  <si>
    <t>0000-0002-0782-6222</t>
  </si>
  <si>
    <t>ASSOC ADJ PROF-FY</t>
  </si>
  <si>
    <t>Pathak, Medha</t>
  </si>
  <si>
    <t>Pathak MM</t>
  </si>
  <si>
    <t>Sabui, Subrata</t>
  </si>
  <si>
    <t>Sabui S</t>
  </si>
  <si>
    <t>0000-0003-1037-8149</t>
  </si>
  <si>
    <t>ASST ADJ PROF-FY</t>
  </si>
  <si>
    <t>Singh, Harinder</t>
  </si>
  <si>
    <t>Singh H</t>
  </si>
  <si>
    <t>ASST ADJ PROF-HCOMP</t>
  </si>
  <si>
    <t>Skowronska-Krawczyk, Dorota</t>
  </si>
  <si>
    <t>Skowronska-Krawczyk D</t>
  </si>
  <si>
    <t>Tombola, Francesco</t>
  </si>
  <si>
    <t>Tombola F</t>
  </si>
  <si>
    <t>Villalta, Sergio Armando</t>
  </si>
  <si>
    <t>Villalta SA</t>
  </si>
  <si>
    <t>Neurology</t>
  </si>
  <si>
    <t>Wagar, Lisa</t>
  </si>
  <si>
    <t>Wagar LE</t>
  </si>
  <si>
    <t>0000-0001-5980-3586</t>
  </si>
  <si>
    <t>Yu, Alvin</t>
  </si>
  <si>
    <t>Yu A</t>
  </si>
  <si>
    <t>Eguchi A</t>
  </si>
  <si>
    <t>Byun M</t>
  </si>
  <si>
    <t>0000-0002-7767-5642</t>
  </si>
  <si>
    <t>0000-0002-3196-8706</t>
  </si>
  <si>
    <t>Faculty_Full_Name</t>
  </si>
  <si>
    <t>Dept</t>
  </si>
  <si>
    <t>Faculty_Author_Affilitation</t>
  </si>
  <si>
    <t>Faculty</t>
  </si>
  <si>
    <t>Monuki, Edwin</t>
  </si>
  <si>
    <t>Monuki ES</t>
  </si>
  <si>
    <t>Faculty_Author_Affiliation_Orcid</t>
  </si>
  <si>
    <t>Orcid</t>
  </si>
  <si>
    <t>0000-0001-5130-781X</t>
  </si>
  <si>
    <t>Pathology &amp; Laboratory Medicine</t>
  </si>
  <si>
    <t>Li Wei</t>
  </si>
  <si>
    <t>Acharya MM AND Irvine</t>
  </si>
  <si>
    <t>Acharya MM AND Irvine OR 0000-0002-7767-5642</t>
  </si>
  <si>
    <t>Calof AL AND Irvine</t>
  </si>
  <si>
    <t>Calof AL AND Irvine OR 0000-0003-3676-2499</t>
  </si>
  <si>
    <t>Chen LY AND Irvine</t>
  </si>
  <si>
    <t>Chen LY AND Irvine OR 0000-0002-8873-3481</t>
  </si>
  <si>
    <t>Diaz-Alonso J AND Irvine</t>
  </si>
  <si>
    <t>Ewell L AND Irvine</t>
  </si>
  <si>
    <t>Ewell L AND Irvine OR 0000-0002-1638-426X</t>
  </si>
  <si>
    <t>Gall CM AND Irvine</t>
  </si>
  <si>
    <t>Gall CM AND Irvine OR 0000-0002-7727-796X</t>
  </si>
  <si>
    <t>Hunt RF AND Irvine</t>
  </si>
  <si>
    <t>Hunt RF AND Irvine OR 0000-0003-4490-8718</t>
  </si>
  <si>
    <t>Igarashi KM AND Irvine</t>
  </si>
  <si>
    <t>Igarashi KM AND Irvine OR 0000-0002-5635-169X</t>
  </si>
  <si>
    <t>Lyon DC AND Irvine</t>
  </si>
  <si>
    <t>Lyon DC AND Irvine OR 0000-0002-4367-5636</t>
  </si>
  <si>
    <t>Piomelli D AND Irvine</t>
  </si>
  <si>
    <t>Piomelli D AND Irvine OR 0000-0002-2983-774X</t>
  </si>
  <si>
    <t>Reinkensmeyer DJ AND Irvine</t>
  </si>
  <si>
    <t>Reinkensmeyer DJ AND Irvine OR 0000-0002-3196-8706</t>
  </si>
  <si>
    <t>Steward O AND Irvine</t>
  </si>
  <si>
    <t>Steward O AND Irvine OR 0000-0001-7069-8756</t>
  </si>
  <si>
    <t>Watanabe M AND Irvine</t>
  </si>
  <si>
    <t>Watanabe M AND Irvine OR 0000-0001-5014-2849</t>
  </si>
  <si>
    <t>Xu X AND Irvine</t>
  </si>
  <si>
    <t>Xu X AND Irvine OR 0000-0002-5828-1533</t>
  </si>
  <si>
    <t>Buisson R AND Irvine</t>
  </si>
  <si>
    <t>Buisson R AND Irvine OR 0000-0002-7196-8209</t>
  </si>
  <si>
    <t>Dai X AND Irvine</t>
  </si>
  <si>
    <t>Dai X AND Irvine OR 0000-0001-8134-1365</t>
  </si>
  <si>
    <t>Donovan PJ AND Irvine</t>
  </si>
  <si>
    <t>Donovan PJ AND Irvine OR 0000-0003-2557-664X</t>
  </si>
  <si>
    <t>Jang C AND Irvine</t>
  </si>
  <si>
    <t>Jang C AND Irvine OR 0000-0001-6651-4213</t>
  </si>
  <si>
    <t>Kaiser P AND Irvine</t>
  </si>
  <si>
    <t>Kessenbrock K AND Irvine</t>
  </si>
  <si>
    <t>Li Wei AND Irvine</t>
  </si>
  <si>
    <t>Liu H AND Irvine</t>
  </si>
  <si>
    <t>Marazzi I AND Irvine</t>
  </si>
  <si>
    <t>Masri S AND Irvine</t>
  </si>
  <si>
    <t>Masri S AND Irvine OR 0000-0002-8619-8331</t>
  </si>
  <si>
    <t>Ng SW AND Irvine</t>
  </si>
  <si>
    <t>Ng SW AND Irvine OR 0009-0009-0354-8454</t>
  </si>
  <si>
    <t>Qiao F AND Irvine</t>
  </si>
  <si>
    <t>Sandmeyer SB AND Irvine</t>
  </si>
  <si>
    <t>Seldin M AND Irvine</t>
  </si>
  <si>
    <t>Steele RE AND Irvine</t>
  </si>
  <si>
    <t>Steele RE AND Irvine OR 0000-0001-5355-1656</t>
  </si>
  <si>
    <t>Yokomori K AND Irvine</t>
  </si>
  <si>
    <t>Baker NE AND Irvine</t>
  </si>
  <si>
    <t>Barbour AG AND Irvine</t>
  </si>
  <si>
    <t>Barbour AG AND Irvine OR 0000-0002-0719-5248</t>
  </si>
  <si>
    <t>Borrelli E AND Irvine</t>
  </si>
  <si>
    <t>Borrelli E AND Irvine OR 0000-0002-1813-2541</t>
  </si>
  <si>
    <t>Burke TP AND Irvine</t>
  </si>
  <si>
    <t>Byun M AND Irvine</t>
  </si>
  <si>
    <t>Goldin AL AND Irvine</t>
  </si>
  <si>
    <t>Goldin AL AND Irvine OR 0000-0001-7159-0288</t>
  </si>
  <si>
    <t>Hertel KJ AND Irvine</t>
  </si>
  <si>
    <t>Hertel KJ AND Irvine OR 0000-0002-7560-9529</t>
  </si>
  <si>
    <t>James AA AND Irvine</t>
  </si>
  <si>
    <t>Koyuncu OO AND Irvine</t>
  </si>
  <si>
    <t>Marsden MD AND Irvine</t>
  </si>
  <si>
    <t>McClelland M AND Irvine</t>
  </si>
  <si>
    <t>McClelland M AND Irvine OR 0000-0003-1788-9347</t>
  </si>
  <si>
    <t>Semler BL AND Irvine</t>
  </si>
  <si>
    <t>Shi Y AND Irvine</t>
  </si>
  <si>
    <t>Shi Y AND Irvine OR 0000-0003-2967-1230</t>
  </si>
  <si>
    <t>Tan M AND Irvine</t>
  </si>
  <si>
    <t>Abbott GW AND Irvine</t>
  </si>
  <si>
    <t>Beier KT AND Irvine</t>
  </si>
  <si>
    <t>Beier KT AND Irvine OR 0000-0002-4934-1341</t>
  </si>
  <si>
    <t>Cahalan MD AND Irvine</t>
  </si>
  <si>
    <t>Davies DH AND Irvine</t>
  </si>
  <si>
    <t>Eguchi A AND Irvine</t>
  </si>
  <si>
    <t>Eguchi A AND Irvine OR 0000-0003-3010-0275</t>
  </si>
  <si>
    <t>Felgner PL AND Irvine</t>
  </si>
  <si>
    <t>Felgner PL AND Irvine OR 0000-0002-4117-8505</t>
  </si>
  <si>
    <t>Hicks MR AND Irvine</t>
  </si>
  <si>
    <t>Holmes TC AND Irvine</t>
  </si>
  <si>
    <t>Holmes TC AND Irvine OR 0000-0001-8152-8832</t>
  </si>
  <si>
    <t>Huang L AND Irvine</t>
  </si>
  <si>
    <t>Huang L AND Irvine OR 0000-0002-3140-4690</t>
  </si>
  <si>
    <t>Jin R AND Irvine</t>
  </si>
  <si>
    <t>Jusiak B AND Irvine</t>
  </si>
  <si>
    <t>Kiser PD AND Irvine</t>
  </si>
  <si>
    <t>Kiser PD AND Irvine OR 0000-0003-1184-9541</t>
  </si>
  <si>
    <t>Lawson DA AND Irvine</t>
  </si>
  <si>
    <t>Lawson DA AND Irvine OR 0000-0003-1692-0517</t>
  </si>
  <si>
    <t>Marangoni F AND Irvine</t>
  </si>
  <si>
    <t>Othy S AND Irvine</t>
  </si>
  <si>
    <t>Othy S AND Irvine OR 0000-0001-6832-5547</t>
  </si>
  <si>
    <t>Pathak MM AND Irvine</t>
  </si>
  <si>
    <t>Skowronska-Krawczyk D AND Irvine</t>
  </si>
  <si>
    <t>Tombola F AND Irvine</t>
  </si>
  <si>
    <t>Villalta SA AND Irvine</t>
  </si>
  <si>
    <t>Wagar LE AND Irvine</t>
  </si>
  <si>
    <t>Wagar LE AND Irvine OR 0000-0001-5980-3586</t>
  </si>
  <si>
    <t>Yu A AND Irvine</t>
  </si>
  <si>
    <t>Monuki ES AND Irvine</t>
  </si>
  <si>
    <t>Monuki ES AND Irvine OR 0000-0001-5130-781X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</si>
</sst>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ustin Sarkis" id="{A3ED213D-666A-4147-8A2B-6E180C52F2CE}" userId="S::sarkisj@ad.uci.edu::bb8dcfa7-a190-4827-a72d-07c03c378e3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5-05-22T21:38:43.51" personId="{A3ED213D-666A-4147-8A2B-6E180C52F2CE}" id="{33C1E616-C96E-094A-8EAD-C5C95106E9E3}">
    <text xml:space="preserve">New to UCI. Probably need to use previous affiliation in search. </text>
  </threadedComment>
  <threadedComment ref="C86" dT="2025-05-22T21:36:47.21" personId="{A3ED213D-666A-4147-8A2B-6E180C52F2CE}" id="{359E470E-E02D-194F-ABB0-7563A0B01D7C}">
    <text>New to UCI. Did PhD at UW-Madison.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9FC5-491E-4DE9-BC02-85B888A709ED}">
  <sheetPr filterMode="1"/>
  <dimension ref="A1:P117"/>
  <sheetViews>
    <sheetView topLeftCell="A2" zoomScale="150" zoomScaleNormal="150" workbookViewId="0">
      <selection activeCell="C6" activeCellId="2" sqref="A1:XFD2 A4:XFD4 A6:XFD9 A11:XFD12 A15:XFD16 A19:XFD19 A23:XFD23 A25:XFD25 A27:XFD27 A31:XFD31 A33:XFD33 A35:XFD35 A37:XFD37 A39:XFD41 A43:XFD43 A45:XFD45 A47:XFD47 A49:XFD51 A53:XFD53 A55:XFD56 A58:XFD58 A60:XFD61 A63:XFD64 A66:XFD66 A68:XFD69 A71:XFD71 A73:XFD74 A76:XFD79 A83:XFD86 A88:XFD90 A94:XFD95 A97:XFD97 A100:XFD103 A106:XFD106 A111:XFD112 A114:XFD1048576"/>
    </sheetView>
  </sheetViews>
  <sheetFormatPr baseColWidth="10" defaultColWidth="8.83203125" defaultRowHeight="15" x14ac:dyDescent="0.2"/>
  <cols>
    <col min="1" max="1" width="28.5" customWidth="1"/>
    <col min="2" max="3" width="24.83203125" customWidth="1"/>
    <col min="4" max="4" width="32.5" bestFit="1" customWidth="1"/>
    <col min="5" max="5" width="67.33203125" bestFit="1" customWidth="1"/>
    <col min="6" max="6" width="20.6640625" bestFit="1" customWidth="1"/>
    <col min="7" max="7" width="25.33203125" bestFit="1" customWidth="1"/>
    <col min="9" max="9" width="20.6640625" customWidth="1"/>
    <col min="11" max="11" width="17.1640625" customWidth="1"/>
    <col min="13" max="13" width="18.5" customWidth="1"/>
  </cols>
  <sheetData>
    <row r="1" spans="1:16" x14ac:dyDescent="0.2">
      <c r="A1" t="s">
        <v>240</v>
      </c>
      <c r="B1" t="s">
        <v>239</v>
      </c>
      <c r="C1" t="s">
        <v>242</v>
      </c>
      <c r="D1" t="s">
        <v>241</v>
      </c>
      <c r="E1" t="s">
        <v>245</v>
      </c>
      <c r="F1" t="s">
        <v>246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">
      <c r="A2" t="s">
        <v>10</v>
      </c>
      <c r="B2" t="s">
        <v>11</v>
      </c>
      <c r="C2" t="s">
        <v>12</v>
      </c>
      <c r="D2" t="str">
        <f>_xlfn.CONCAT(C2," AND Irvine")</f>
        <v>Acharya MM AND Irvine</v>
      </c>
      <c r="E2" t="str">
        <f>IF(F2&lt;&gt;"",_xlfn.CONCAT(D2," OR ",F2),_xlfn.CONCAT(D2,F2))</f>
        <v>Acharya MM AND Irvine OR 0000-0002-7767-5642</v>
      </c>
      <c r="F2" t="s">
        <v>237</v>
      </c>
      <c r="G2" t="s">
        <v>13</v>
      </c>
      <c r="H2" t="s">
        <v>14</v>
      </c>
      <c r="I2" t="s">
        <v>15</v>
      </c>
      <c r="J2">
        <v>1719</v>
      </c>
      <c r="K2" t="s">
        <v>16</v>
      </c>
      <c r="L2" t="s">
        <v>17</v>
      </c>
      <c r="M2" s="1">
        <v>39433</v>
      </c>
      <c r="O2" s="1">
        <v>45793</v>
      </c>
      <c r="P2">
        <v>1</v>
      </c>
    </row>
    <row r="3" spans="1:16" hidden="1" x14ac:dyDescent="0.2">
      <c r="A3" t="s">
        <v>10</v>
      </c>
      <c r="B3" t="s">
        <v>11</v>
      </c>
      <c r="C3" t="s">
        <v>12</v>
      </c>
      <c r="F3" s="2"/>
      <c r="G3" t="s">
        <v>18</v>
      </c>
      <c r="H3" t="s">
        <v>19</v>
      </c>
      <c r="I3" t="s">
        <v>15</v>
      </c>
      <c r="J3">
        <v>1719</v>
      </c>
      <c r="K3" t="s">
        <v>16</v>
      </c>
      <c r="L3" t="s">
        <v>17</v>
      </c>
      <c r="M3" s="1">
        <v>44515</v>
      </c>
      <c r="O3" s="1">
        <v>45793</v>
      </c>
      <c r="P3">
        <v>0</v>
      </c>
    </row>
    <row r="4" spans="1:16" x14ac:dyDescent="0.2">
      <c r="A4" t="s">
        <v>10</v>
      </c>
      <c r="B4" t="s">
        <v>20</v>
      </c>
      <c r="C4" t="s">
        <v>21</v>
      </c>
      <c r="D4" t="str">
        <f>_xlfn.CONCAT(C4," AND Irvine")</f>
        <v>Calof AL AND Irvine</v>
      </c>
      <c r="E4" t="str">
        <f>IF(F4&lt;&gt;"",_xlfn.CONCAT(D4," OR ",F4),_xlfn.CONCAT(D4,F4))</f>
        <v>Calof AL AND Irvine OR 0000-0003-3676-2499</v>
      </c>
      <c r="F4" t="s">
        <v>22</v>
      </c>
      <c r="G4" t="s">
        <v>13</v>
      </c>
      <c r="H4" t="s">
        <v>14</v>
      </c>
      <c r="I4" t="s">
        <v>15</v>
      </c>
      <c r="J4">
        <v>1721</v>
      </c>
      <c r="K4" t="s">
        <v>23</v>
      </c>
      <c r="L4" t="s">
        <v>17</v>
      </c>
      <c r="M4" s="1">
        <v>34731</v>
      </c>
      <c r="O4" s="1">
        <v>45793</v>
      </c>
      <c r="P4">
        <v>1</v>
      </c>
    </row>
    <row r="5" spans="1:16" hidden="1" x14ac:dyDescent="0.2">
      <c r="A5" t="s">
        <v>10</v>
      </c>
      <c r="B5" t="s">
        <v>20</v>
      </c>
      <c r="C5" t="s">
        <v>21</v>
      </c>
      <c r="F5" t="s">
        <v>22</v>
      </c>
      <c r="G5" t="s">
        <v>24</v>
      </c>
      <c r="H5" t="s">
        <v>19</v>
      </c>
      <c r="I5" t="s">
        <v>15</v>
      </c>
      <c r="J5">
        <v>1721</v>
      </c>
      <c r="K5" t="s">
        <v>23</v>
      </c>
      <c r="L5" t="s">
        <v>17</v>
      </c>
      <c r="M5" s="1">
        <v>34731</v>
      </c>
      <c r="O5" s="1">
        <v>45793</v>
      </c>
      <c r="P5">
        <v>0</v>
      </c>
    </row>
    <row r="6" spans="1:16" x14ac:dyDescent="0.2">
      <c r="A6" t="s">
        <v>10</v>
      </c>
      <c r="B6" t="s">
        <v>25</v>
      </c>
      <c r="C6" t="s">
        <v>26</v>
      </c>
      <c r="D6" t="str">
        <f t="shared" ref="D6:D9" si="0">_xlfn.CONCAT(C6," AND Irvine")</f>
        <v>Chen LY AND Irvine</v>
      </c>
      <c r="E6" t="str">
        <f t="shared" ref="E6:E9" si="1">IF(F6&lt;&gt;"",_xlfn.CONCAT(D6," OR ",F6),_xlfn.CONCAT(D6,F6))</f>
        <v>Chen LY AND Irvine OR 0000-0002-8873-3481</v>
      </c>
      <c r="F6" t="s">
        <v>27</v>
      </c>
      <c r="G6" t="s">
        <v>13</v>
      </c>
      <c r="H6" t="s">
        <v>14</v>
      </c>
      <c r="I6" t="s">
        <v>15</v>
      </c>
      <c r="J6">
        <v>1717</v>
      </c>
      <c r="K6" t="s">
        <v>28</v>
      </c>
      <c r="L6" t="s">
        <v>17</v>
      </c>
      <c r="M6" s="1">
        <v>43327</v>
      </c>
      <c r="O6" s="1">
        <v>45793</v>
      </c>
      <c r="P6">
        <v>1</v>
      </c>
    </row>
    <row r="7" spans="1:16" x14ac:dyDescent="0.2">
      <c r="A7" t="s">
        <v>10</v>
      </c>
      <c r="B7" t="s">
        <v>29</v>
      </c>
      <c r="C7" t="s">
        <v>30</v>
      </c>
      <c r="D7" t="str">
        <f t="shared" si="0"/>
        <v>Diaz-Alonso J AND Irvine</v>
      </c>
      <c r="E7" t="str">
        <f t="shared" si="1"/>
        <v>Diaz-Alonso J AND Irvine</v>
      </c>
      <c r="F7" s="2"/>
      <c r="G7" t="s">
        <v>13</v>
      </c>
      <c r="H7" t="s">
        <v>14</v>
      </c>
      <c r="I7" t="s">
        <v>15</v>
      </c>
      <c r="J7">
        <v>1717</v>
      </c>
      <c r="K7" t="s">
        <v>28</v>
      </c>
      <c r="L7" t="s">
        <v>17</v>
      </c>
      <c r="M7" s="1">
        <v>44075</v>
      </c>
      <c r="O7" s="1">
        <v>45793</v>
      </c>
      <c r="P7">
        <v>1</v>
      </c>
    </row>
    <row r="8" spans="1:16" x14ac:dyDescent="0.2">
      <c r="A8" t="s">
        <v>10</v>
      </c>
      <c r="B8" t="s">
        <v>31</v>
      </c>
      <c r="C8" t="s">
        <v>32</v>
      </c>
      <c r="D8" t="str">
        <f t="shared" si="0"/>
        <v>Ewell L AND Irvine</v>
      </c>
      <c r="E8" t="str">
        <f t="shared" si="1"/>
        <v>Ewell L AND Irvine OR 0000-0002-1638-426X</v>
      </c>
      <c r="F8" t="s">
        <v>33</v>
      </c>
      <c r="G8" t="s">
        <v>13</v>
      </c>
      <c r="H8" t="s">
        <v>14</v>
      </c>
      <c r="I8" t="s">
        <v>15</v>
      </c>
      <c r="J8">
        <v>1717</v>
      </c>
      <c r="K8" t="s">
        <v>28</v>
      </c>
      <c r="L8" t="s">
        <v>17</v>
      </c>
      <c r="M8" s="1">
        <v>44166</v>
      </c>
      <c r="O8" s="1">
        <v>45793</v>
      </c>
      <c r="P8">
        <v>1</v>
      </c>
    </row>
    <row r="9" spans="1:16" x14ac:dyDescent="0.2">
      <c r="A9" t="s">
        <v>10</v>
      </c>
      <c r="B9" t="s">
        <v>34</v>
      </c>
      <c r="C9" t="s">
        <v>35</v>
      </c>
      <c r="D9" t="str">
        <f t="shared" si="0"/>
        <v>Gall CM AND Irvine</v>
      </c>
      <c r="E9" t="str">
        <f t="shared" si="1"/>
        <v>Gall CM AND Irvine OR 0000-0002-7727-796X</v>
      </c>
      <c r="F9" t="s">
        <v>36</v>
      </c>
      <c r="G9" t="s">
        <v>13</v>
      </c>
      <c r="H9" t="s">
        <v>14</v>
      </c>
      <c r="I9" t="s">
        <v>15</v>
      </c>
      <c r="J9">
        <v>1721</v>
      </c>
      <c r="K9" t="s">
        <v>23</v>
      </c>
      <c r="L9" t="s">
        <v>17</v>
      </c>
      <c r="M9" s="1">
        <v>29752</v>
      </c>
      <c r="O9" s="1">
        <v>45793</v>
      </c>
      <c r="P9">
        <v>1</v>
      </c>
    </row>
    <row r="10" spans="1:16" hidden="1" x14ac:dyDescent="0.2">
      <c r="A10" t="s">
        <v>10</v>
      </c>
      <c r="B10" t="s">
        <v>34</v>
      </c>
      <c r="C10" t="s">
        <v>35</v>
      </c>
      <c r="F10" t="s">
        <v>36</v>
      </c>
      <c r="G10" t="s">
        <v>37</v>
      </c>
      <c r="H10" t="s">
        <v>19</v>
      </c>
      <c r="I10" t="s">
        <v>15</v>
      </c>
      <c r="J10">
        <v>1721</v>
      </c>
      <c r="K10" t="s">
        <v>23</v>
      </c>
      <c r="L10" t="s">
        <v>17</v>
      </c>
      <c r="M10" s="1">
        <v>29752</v>
      </c>
      <c r="O10" s="1">
        <v>45793</v>
      </c>
      <c r="P10">
        <v>0</v>
      </c>
    </row>
    <row r="11" spans="1:16" x14ac:dyDescent="0.2">
      <c r="A11" t="s">
        <v>10</v>
      </c>
      <c r="B11" t="s">
        <v>38</v>
      </c>
      <c r="C11" t="s">
        <v>39</v>
      </c>
      <c r="D11" t="str">
        <f t="shared" ref="D11:D12" si="2">_xlfn.CONCAT(C11," AND Irvine")</f>
        <v>Hunt RF AND Irvine</v>
      </c>
      <c r="E11" t="str">
        <f t="shared" ref="E11:E12" si="3">IF(F11&lt;&gt;"",_xlfn.CONCAT(D11," OR ",F11),_xlfn.CONCAT(D11,F11))</f>
        <v>Hunt RF AND Irvine OR 0000-0003-4490-8718</v>
      </c>
      <c r="F11" t="s">
        <v>40</v>
      </c>
      <c r="G11" t="s">
        <v>13</v>
      </c>
      <c r="H11" t="s">
        <v>14</v>
      </c>
      <c r="I11" t="s">
        <v>15</v>
      </c>
      <c r="J11">
        <v>1719</v>
      </c>
      <c r="K11" t="s">
        <v>16</v>
      </c>
      <c r="L11" t="s">
        <v>17</v>
      </c>
      <c r="M11" s="1">
        <v>42036</v>
      </c>
      <c r="O11" s="1">
        <v>45793</v>
      </c>
      <c r="P11">
        <v>1</v>
      </c>
    </row>
    <row r="12" spans="1:16" x14ac:dyDescent="0.2">
      <c r="A12" t="s">
        <v>10</v>
      </c>
      <c r="B12" t="s">
        <v>41</v>
      </c>
      <c r="C12" t="s">
        <v>42</v>
      </c>
      <c r="D12" t="str">
        <f t="shared" si="2"/>
        <v>Igarashi KM AND Irvine</v>
      </c>
      <c r="E12" t="str">
        <f t="shared" si="3"/>
        <v>Igarashi KM AND Irvine OR 0000-0002-5635-169X</v>
      </c>
      <c r="F12" t="s">
        <v>43</v>
      </c>
      <c r="G12" t="s">
        <v>13</v>
      </c>
      <c r="H12" t="s">
        <v>14</v>
      </c>
      <c r="I12" t="s">
        <v>15</v>
      </c>
      <c r="J12">
        <v>1719</v>
      </c>
      <c r="K12" t="s">
        <v>16</v>
      </c>
      <c r="L12" t="s">
        <v>17</v>
      </c>
      <c r="M12" s="1">
        <v>42401</v>
      </c>
      <c r="O12" s="1">
        <v>45793</v>
      </c>
      <c r="P12">
        <v>1</v>
      </c>
    </row>
    <row r="13" spans="1:16" hidden="1" x14ac:dyDescent="0.2">
      <c r="A13" t="s">
        <v>10</v>
      </c>
      <c r="B13" t="s">
        <v>41</v>
      </c>
      <c r="C13" t="s">
        <v>42</v>
      </c>
      <c r="F13" t="s">
        <v>43</v>
      </c>
      <c r="G13" t="s">
        <v>44</v>
      </c>
      <c r="H13" t="s">
        <v>19</v>
      </c>
      <c r="I13" t="s">
        <v>15</v>
      </c>
      <c r="J13">
        <v>1719</v>
      </c>
      <c r="K13" t="s">
        <v>16</v>
      </c>
      <c r="L13" t="s">
        <v>17</v>
      </c>
      <c r="M13" s="1">
        <v>44835</v>
      </c>
      <c r="O13" s="1">
        <v>45793</v>
      </c>
      <c r="P13">
        <v>0</v>
      </c>
    </row>
    <row r="14" spans="1:16" hidden="1" x14ac:dyDescent="0.2">
      <c r="A14" t="s">
        <v>10</v>
      </c>
      <c r="B14" t="s">
        <v>45</v>
      </c>
      <c r="C14" t="s">
        <v>46</v>
      </c>
      <c r="F14" t="s">
        <v>47</v>
      </c>
      <c r="G14" t="s">
        <v>13</v>
      </c>
      <c r="H14" t="s">
        <v>14</v>
      </c>
      <c r="I14" t="s">
        <v>48</v>
      </c>
      <c r="J14">
        <v>1729</v>
      </c>
      <c r="K14" t="s">
        <v>49</v>
      </c>
      <c r="L14" t="s">
        <v>17</v>
      </c>
      <c r="M14" s="1">
        <v>38055</v>
      </c>
      <c r="O14" s="1">
        <v>45793</v>
      </c>
      <c r="P14">
        <v>1</v>
      </c>
    </row>
    <row r="15" spans="1:16" x14ac:dyDescent="0.2">
      <c r="A15" t="s">
        <v>10</v>
      </c>
      <c r="B15" t="s">
        <v>50</v>
      </c>
      <c r="C15" t="s">
        <v>51</v>
      </c>
      <c r="D15" t="str">
        <f t="shared" ref="D15:D16" si="4">_xlfn.CONCAT(C15," AND Irvine")</f>
        <v>Lyon DC AND Irvine</v>
      </c>
      <c r="E15" t="str">
        <f t="shared" ref="E15:E16" si="5">IF(F15&lt;&gt;"",_xlfn.CONCAT(D15," OR ",F15),_xlfn.CONCAT(D15,F15))</f>
        <v>Lyon DC AND Irvine OR 0000-0002-4367-5636</v>
      </c>
      <c r="F15" t="s">
        <v>52</v>
      </c>
      <c r="G15" t="s">
        <v>13</v>
      </c>
      <c r="H15" t="s">
        <v>14</v>
      </c>
      <c r="I15" t="s">
        <v>15</v>
      </c>
      <c r="J15">
        <v>1721</v>
      </c>
      <c r="K15" t="s">
        <v>23</v>
      </c>
      <c r="L15" t="s">
        <v>17</v>
      </c>
      <c r="M15" s="1">
        <v>38961</v>
      </c>
      <c r="O15" s="1">
        <v>45793</v>
      </c>
      <c r="P15">
        <v>1</v>
      </c>
    </row>
    <row r="16" spans="1:16" x14ac:dyDescent="0.2">
      <c r="A16" t="s">
        <v>10</v>
      </c>
      <c r="B16" t="s">
        <v>53</v>
      </c>
      <c r="C16" t="s">
        <v>54</v>
      </c>
      <c r="D16" t="str">
        <f t="shared" si="4"/>
        <v>Piomelli D AND Irvine</v>
      </c>
      <c r="E16" t="str">
        <f t="shared" si="5"/>
        <v>Piomelli D AND Irvine OR 0000-0002-2983-774X</v>
      </c>
      <c r="F16" t="s">
        <v>55</v>
      </c>
      <c r="G16" t="s">
        <v>13</v>
      </c>
      <c r="H16" t="s">
        <v>14</v>
      </c>
      <c r="I16" t="s">
        <v>15</v>
      </c>
      <c r="J16">
        <v>1721</v>
      </c>
      <c r="K16" t="s">
        <v>23</v>
      </c>
      <c r="L16" t="s">
        <v>17</v>
      </c>
      <c r="M16" s="1">
        <v>35977</v>
      </c>
      <c r="O16" s="1">
        <v>45793</v>
      </c>
      <c r="P16">
        <v>1</v>
      </c>
    </row>
    <row r="17" spans="1:16" hidden="1" x14ac:dyDescent="0.2">
      <c r="A17" t="s">
        <v>10</v>
      </c>
      <c r="B17" t="s">
        <v>53</v>
      </c>
      <c r="C17" t="s">
        <v>54</v>
      </c>
      <c r="F17" t="s">
        <v>55</v>
      </c>
      <c r="G17" t="s">
        <v>56</v>
      </c>
      <c r="H17" t="s">
        <v>19</v>
      </c>
      <c r="I17" t="s">
        <v>15</v>
      </c>
      <c r="J17">
        <v>1721</v>
      </c>
      <c r="K17" t="s">
        <v>23</v>
      </c>
      <c r="L17" t="s">
        <v>17</v>
      </c>
      <c r="M17" s="1">
        <v>35977</v>
      </c>
      <c r="O17" s="1">
        <v>45793</v>
      </c>
      <c r="P17">
        <v>0</v>
      </c>
    </row>
    <row r="18" spans="1:16" hidden="1" x14ac:dyDescent="0.2">
      <c r="A18" t="s">
        <v>10</v>
      </c>
      <c r="B18" t="s">
        <v>53</v>
      </c>
      <c r="C18" t="s">
        <v>54</v>
      </c>
      <c r="F18" t="s">
        <v>55</v>
      </c>
      <c r="G18" t="s">
        <v>57</v>
      </c>
      <c r="H18" t="s">
        <v>19</v>
      </c>
      <c r="I18" t="s">
        <v>15</v>
      </c>
      <c r="J18">
        <v>1721</v>
      </c>
      <c r="K18" t="s">
        <v>23</v>
      </c>
      <c r="L18" t="s">
        <v>17</v>
      </c>
      <c r="M18" s="1">
        <v>35977</v>
      </c>
      <c r="O18" s="1">
        <v>45793</v>
      </c>
      <c r="P18">
        <v>0</v>
      </c>
    </row>
    <row r="19" spans="1:16" x14ac:dyDescent="0.2">
      <c r="A19" t="s">
        <v>10</v>
      </c>
      <c r="B19" t="s">
        <v>58</v>
      </c>
      <c r="C19" t="s">
        <v>59</v>
      </c>
      <c r="D19" t="str">
        <f>_xlfn.CONCAT(C19," AND Irvine")</f>
        <v>Reinkensmeyer DJ AND Irvine</v>
      </c>
      <c r="E19" t="str">
        <f>IF(F19&lt;&gt;"",_xlfn.CONCAT(D19," OR ",F19),_xlfn.CONCAT(D19,F19))</f>
        <v>Reinkensmeyer DJ AND Irvine OR 0000-0002-3196-8706</v>
      </c>
      <c r="F19" t="s">
        <v>238</v>
      </c>
      <c r="G19" t="s">
        <v>13</v>
      </c>
      <c r="H19" t="s">
        <v>14</v>
      </c>
      <c r="I19" t="s">
        <v>15</v>
      </c>
      <c r="J19">
        <v>1721</v>
      </c>
      <c r="K19" t="s">
        <v>23</v>
      </c>
      <c r="L19" t="s">
        <v>17</v>
      </c>
      <c r="M19" s="1">
        <v>43800</v>
      </c>
      <c r="O19" s="1">
        <v>45793</v>
      </c>
      <c r="P19">
        <v>1</v>
      </c>
    </row>
    <row r="20" spans="1:16" hidden="1" x14ac:dyDescent="0.2">
      <c r="A20" t="s">
        <v>10</v>
      </c>
      <c r="B20" t="s">
        <v>58</v>
      </c>
      <c r="C20" t="s">
        <v>59</v>
      </c>
      <c r="F20" s="2"/>
      <c r="G20" t="s">
        <v>60</v>
      </c>
      <c r="H20" t="s">
        <v>19</v>
      </c>
      <c r="I20" t="s">
        <v>15</v>
      </c>
      <c r="J20">
        <v>1721</v>
      </c>
      <c r="K20" t="s">
        <v>23</v>
      </c>
      <c r="L20" t="s">
        <v>17</v>
      </c>
      <c r="M20" s="1">
        <v>35977</v>
      </c>
      <c r="O20" s="1">
        <v>45793</v>
      </c>
      <c r="P20">
        <v>0</v>
      </c>
    </row>
    <row r="21" spans="1:16" hidden="1" x14ac:dyDescent="0.2">
      <c r="A21" t="s">
        <v>10</v>
      </c>
      <c r="B21" t="s">
        <v>58</v>
      </c>
      <c r="C21" t="s">
        <v>59</v>
      </c>
      <c r="F21" s="2"/>
      <c r="G21" t="s">
        <v>61</v>
      </c>
      <c r="H21" t="s">
        <v>19</v>
      </c>
      <c r="I21" t="s">
        <v>15</v>
      </c>
      <c r="J21">
        <v>1721</v>
      </c>
      <c r="K21" t="s">
        <v>23</v>
      </c>
      <c r="L21" t="s">
        <v>17</v>
      </c>
      <c r="M21" s="1">
        <v>35977</v>
      </c>
      <c r="O21" s="1">
        <v>45793</v>
      </c>
      <c r="P21">
        <v>0</v>
      </c>
    </row>
    <row r="22" spans="1:16" hidden="1" x14ac:dyDescent="0.2">
      <c r="A22" t="s">
        <v>10</v>
      </c>
      <c r="B22" t="s">
        <v>58</v>
      </c>
      <c r="C22" t="s">
        <v>59</v>
      </c>
      <c r="F22" s="2"/>
      <c r="G22" t="s">
        <v>62</v>
      </c>
      <c r="H22" t="s">
        <v>19</v>
      </c>
      <c r="I22" t="s">
        <v>15</v>
      </c>
      <c r="J22">
        <v>1721</v>
      </c>
      <c r="K22" t="s">
        <v>23</v>
      </c>
      <c r="L22" t="s">
        <v>17</v>
      </c>
      <c r="M22" s="1">
        <v>35977</v>
      </c>
      <c r="O22" s="1">
        <v>45793</v>
      </c>
      <c r="P22">
        <v>0</v>
      </c>
    </row>
    <row r="23" spans="1:16" x14ac:dyDescent="0.2">
      <c r="A23" t="s">
        <v>10</v>
      </c>
      <c r="B23" t="s">
        <v>63</v>
      </c>
      <c r="C23" t="s">
        <v>64</v>
      </c>
      <c r="D23" t="str">
        <f>_xlfn.CONCAT(C23," AND Irvine")</f>
        <v>Steward O AND Irvine</v>
      </c>
      <c r="E23" t="str">
        <f>IF(F23&lt;&gt;"",_xlfn.CONCAT(D23," OR ",F23),_xlfn.CONCAT(D23,F23))</f>
        <v>Steward O AND Irvine OR 0000-0001-7069-8756</v>
      </c>
      <c r="F23" t="s">
        <v>65</v>
      </c>
      <c r="G23" t="s">
        <v>13</v>
      </c>
      <c r="H23" t="s">
        <v>14</v>
      </c>
      <c r="I23" t="s">
        <v>15</v>
      </c>
      <c r="J23">
        <v>1721</v>
      </c>
      <c r="K23" t="s">
        <v>23</v>
      </c>
      <c r="L23" t="s">
        <v>17</v>
      </c>
      <c r="M23" s="1">
        <v>36220</v>
      </c>
      <c r="O23" s="1">
        <v>45793</v>
      </c>
      <c r="P23">
        <v>1</v>
      </c>
    </row>
    <row r="24" spans="1:16" hidden="1" x14ac:dyDescent="0.2">
      <c r="A24" t="s">
        <v>10</v>
      </c>
      <c r="B24" t="s">
        <v>63</v>
      </c>
      <c r="C24" t="s">
        <v>64</v>
      </c>
      <c r="F24" t="s">
        <v>65</v>
      </c>
      <c r="G24" t="s">
        <v>37</v>
      </c>
      <c r="H24" t="s">
        <v>19</v>
      </c>
      <c r="I24" t="s">
        <v>15</v>
      </c>
      <c r="J24">
        <v>1721</v>
      </c>
      <c r="K24" t="s">
        <v>23</v>
      </c>
      <c r="L24" t="s">
        <v>17</v>
      </c>
      <c r="M24" s="1">
        <v>36220</v>
      </c>
      <c r="O24" s="1">
        <v>45793</v>
      </c>
      <c r="P24">
        <v>0</v>
      </c>
    </row>
    <row r="25" spans="1:16" x14ac:dyDescent="0.2">
      <c r="A25" t="s">
        <v>10</v>
      </c>
      <c r="B25" t="s">
        <v>66</v>
      </c>
      <c r="C25" t="s">
        <v>67</v>
      </c>
      <c r="D25" t="str">
        <f>_xlfn.CONCAT(C25," AND Irvine")</f>
        <v>Watanabe M AND Irvine</v>
      </c>
      <c r="E25" t="str">
        <f>IF(F25&lt;&gt;"",_xlfn.CONCAT(D25," OR ",F25),_xlfn.CONCAT(D25,F25))</f>
        <v>Watanabe M AND Irvine OR 0000-0001-5014-2849</v>
      </c>
      <c r="F25" t="s">
        <v>68</v>
      </c>
      <c r="G25" t="s">
        <v>13</v>
      </c>
      <c r="H25" t="s">
        <v>14</v>
      </c>
      <c r="I25" t="s">
        <v>15</v>
      </c>
      <c r="J25">
        <v>1717</v>
      </c>
      <c r="K25" t="s">
        <v>28</v>
      </c>
      <c r="L25" t="s">
        <v>17</v>
      </c>
      <c r="M25" s="1">
        <v>44044</v>
      </c>
      <c r="O25" s="1">
        <v>45793</v>
      </c>
      <c r="P25">
        <v>1</v>
      </c>
    </row>
    <row r="26" spans="1:16" hidden="1" x14ac:dyDescent="0.2">
      <c r="A26" t="s">
        <v>10</v>
      </c>
      <c r="B26" t="s">
        <v>69</v>
      </c>
      <c r="C26" t="s">
        <v>70</v>
      </c>
      <c r="F26" s="2"/>
      <c r="G26" t="s">
        <v>13</v>
      </c>
      <c r="H26" t="s">
        <v>14</v>
      </c>
      <c r="I26" t="s">
        <v>48</v>
      </c>
      <c r="J26">
        <v>1730</v>
      </c>
      <c r="K26" t="s">
        <v>71</v>
      </c>
      <c r="L26" t="s">
        <v>17</v>
      </c>
      <c r="M26" s="1">
        <v>40756</v>
      </c>
      <c r="O26" s="1">
        <v>45793</v>
      </c>
      <c r="P26">
        <v>1</v>
      </c>
    </row>
    <row r="27" spans="1:16" x14ac:dyDescent="0.2">
      <c r="A27" t="s">
        <v>10</v>
      </c>
      <c r="B27" t="s">
        <v>72</v>
      </c>
      <c r="C27" t="s">
        <v>73</v>
      </c>
      <c r="D27" t="str">
        <f>_xlfn.CONCAT(C27," AND Irvine")</f>
        <v>Xu X AND Irvine</v>
      </c>
      <c r="E27" t="str">
        <f>IF(F27&lt;&gt;"",_xlfn.CONCAT(D27," OR ",F27),_xlfn.CONCAT(D27,F27))</f>
        <v>Xu X AND Irvine OR 0000-0002-5828-1533</v>
      </c>
      <c r="F27" t="s">
        <v>74</v>
      </c>
      <c r="G27" t="s">
        <v>13</v>
      </c>
      <c r="H27" t="s">
        <v>14</v>
      </c>
      <c r="I27" t="s">
        <v>15</v>
      </c>
      <c r="J27">
        <v>1721</v>
      </c>
      <c r="K27" t="s">
        <v>23</v>
      </c>
      <c r="L27" t="s">
        <v>17</v>
      </c>
      <c r="M27" s="1">
        <v>39630</v>
      </c>
      <c r="O27" s="1">
        <v>45793</v>
      </c>
      <c r="P27">
        <v>1</v>
      </c>
    </row>
    <row r="28" spans="1:16" hidden="1" x14ac:dyDescent="0.2">
      <c r="A28" t="s">
        <v>10</v>
      </c>
      <c r="B28" t="s">
        <v>72</v>
      </c>
      <c r="C28" t="s">
        <v>73</v>
      </c>
      <c r="F28" t="s">
        <v>75</v>
      </c>
      <c r="G28" t="s">
        <v>60</v>
      </c>
      <c r="H28" t="s">
        <v>19</v>
      </c>
      <c r="I28" t="s">
        <v>15</v>
      </c>
      <c r="J28">
        <v>1721</v>
      </c>
      <c r="K28" t="s">
        <v>23</v>
      </c>
      <c r="L28" t="s">
        <v>17</v>
      </c>
      <c r="M28" s="1">
        <v>39630</v>
      </c>
      <c r="O28" s="1">
        <v>45793</v>
      </c>
      <c r="P28">
        <v>0</v>
      </c>
    </row>
    <row r="29" spans="1:16" hidden="1" x14ac:dyDescent="0.2">
      <c r="A29" t="s">
        <v>10</v>
      </c>
      <c r="B29" t="s">
        <v>72</v>
      </c>
      <c r="C29" t="s">
        <v>73</v>
      </c>
      <c r="F29" t="s">
        <v>76</v>
      </c>
      <c r="G29" t="s">
        <v>77</v>
      </c>
      <c r="H29" t="s">
        <v>19</v>
      </c>
      <c r="I29" t="s">
        <v>15</v>
      </c>
      <c r="J29">
        <v>1721</v>
      </c>
      <c r="K29" t="s">
        <v>23</v>
      </c>
      <c r="L29" t="s">
        <v>17</v>
      </c>
      <c r="M29" s="1">
        <v>39630</v>
      </c>
      <c r="O29" s="1">
        <v>45793</v>
      </c>
      <c r="P29">
        <v>0</v>
      </c>
    </row>
    <row r="30" spans="1:16" hidden="1" x14ac:dyDescent="0.2">
      <c r="A30" t="s">
        <v>10</v>
      </c>
      <c r="B30" t="s">
        <v>72</v>
      </c>
      <c r="C30" t="s">
        <v>73</v>
      </c>
      <c r="F30" t="s">
        <v>78</v>
      </c>
      <c r="G30" t="s">
        <v>79</v>
      </c>
      <c r="H30" t="s">
        <v>19</v>
      </c>
      <c r="I30" t="s">
        <v>15</v>
      </c>
      <c r="J30">
        <v>1721</v>
      </c>
      <c r="K30" t="s">
        <v>23</v>
      </c>
      <c r="L30" t="s">
        <v>17</v>
      </c>
      <c r="M30" s="1">
        <v>45474</v>
      </c>
      <c r="O30" s="1">
        <v>45793</v>
      </c>
      <c r="P30">
        <v>0</v>
      </c>
    </row>
    <row r="31" spans="1:16" x14ac:dyDescent="0.2">
      <c r="A31" t="s">
        <v>56</v>
      </c>
      <c r="B31" t="s">
        <v>80</v>
      </c>
      <c r="C31" t="s">
        <v>81</v>
      </c>
      <c r="D31" t="str">
        <f>_xlfn.CONCAT(C31," AND Irvine")</f>
        <v>Buisson R AND Irvine</v>
      </c>
      <c r="E31" t="str">
        <f>IF(F31&lt;&gt;"",_xlfn.CONCAT(D31," OR ",F31),_xlfn.CONCAT(D31,F31))</f>
        <v>Buisson R AND Irvine OR 0000-0002-7196-8209</v>
      </c>
      <c r="F31" t="s">
        <v>82</v>
      </c>
      <c r="G31" t="s">
        <v>56</v>
      </c>
      <c r="H31" t="s">
        <v>14</v>
      </c>
      <c r="I31" t="s">
        <v>15</v>
      </c>
      <c r="J31">
        <v>1719</v>
      </c>
      <c r="K31" t="s">
        <v>16</v>
      </c>
      <c r="L31" t="s">
        <v>17</v>
      </c>
      <c r="M31" s="1">
        <v>43344</v>
      </c>
      <c r="O31" s="1">
        <v>45793</v>
      </c>
      <c r="P31">
        <v>1</v>
      </c>
    </row>
    <row r="32" spans="1:16" hidden="1" x14ac:dyDescent="0.2">
      <c r="A32" t="s">
        <v>56</v>
      </c>
      <c r="B32" t="s">
        <v>80</v>
      </c>
      <c r="C32" t="s">
        <v>81</v>
      </c>
      <c r="F32" t="s">
        <v>82</v>
      </c>
      <c r="G32" t="s">
        <v>57</v>
      </c>
      <c r="H32" t="s">
        <v>19</v>
      </c>
      <c r="I32" t="s">
        <v>15</v>
      </c>
      <c r="J32">
        <v>1717</v>
      </c>
      <c r="K32" t="s">
        <v>28</v>
      </c>
      <c r="L32" t="s">
        <v>17</v>
      </c>
      <c r="M32" s="1">
        <v>43344</v>
      </c>
      <c r="O32" s="1">
        <v>45793</v>
      </c>
      <c r="P32">
        <v>0</v>
      </c>
    </row>
    <row r="33" spans="1:16" x14ac:dyDescent="0.2">
      <c r="A33" t="s">
        <v>56</v>
      </c>
      <c r="B33" t="s">
        <v>83</v>
      </c>
      <c r="C33" t="s">
        <v>84</v>
      </c>
      <c r="D33" t="str">
        <f>_xlfn.CONCAT(C33," AND Irvine")</f>
        <v>Dai X AND Irvine</v>
      </c>
      <c r="E33" t="str">
        <f>IF(F33&lt;&gt;"",_xlfn.CONCAT(D33," OR ",F33),_xlfn.CONCAT(D33,F33))</f>
        <v>Dai X AND Irvine OR 0000-0001-8134-1365</v>
      </c>
      <c r="F33" t="s">
        <v>85</v>
      </c>
      <c r="G33" t="s">
        <v>56</v>
      </c>
      <c r="H33" t="s">
        <v>14</v>
      </c>
      <c r="I33" t="s">
        <v>15</v>
      </c>
      <c r="J33">
        <v>1721</v>
      </c>
      <c r="K33" t="s">
        <v>23</v>
      </c>
      <c r="L33" t="s">
        <v>17</v>
      </c>
      <c r="M33" s="1">
        <v>36404</v>
      </c>
      <c r="O33" s="1">
        <v>45793</v>
      </c>
      <c r="P33">
        <v>1</v>
      </c>
    </row>
    <row r="34" spans="1:16" hidden="1" x14ac:dyDescent="0.2">
      <c r="A34" t="s">
        <v>56</v>
      </c>
      <c r="B34" t="s">
        <v>83</v>
      </c>
      <c r="C34" t="s">
        <v>84</v>
      </c>
      <c r="F34" t="s">
        <v>85</v>
      </c>
      <c r="G34" t="s">
        <v>86</v>
      </c>
      <c r="H34" t="s">
        <v>19</v>
      </c>
      <c r="I34" t="s">
        <v>15</v>
      </c>
      <c r="J34">
        <v>1721</v>
      </c>
      <c r="K34" t="s">
        <v>23</v>
      </c>
      <c r="L34" t="s">
        <v>17</v>
      </c>
      <c r="M34" s="1">
        <v>36404</v>
      </c>
      <c r="O34" s="1">
        <v>45793</v>
      </c>
      <c r="P34">
        <v>0</v>
      </c>
    </row>
    <row r="35" spans="1:16" x14ac:dyDescent="0.2">
      <c r="A35" t="s">
        <v>56</v>
      </c>
      <c r="B35" t="s">
        <v>87</v>
      </c>
      <c r="C35" t="s">
        <v>88</v>
      </c>
      <c r="D35" t="str">
        <f>_xlfn.CONCAT(C35," AND Irvine")</f>
        <v>Donovan PJ AND Irvine</v>
      </c>
      <c r="E35" t="str">
        <f>IF(F35&lt;&gt;"",_xlfn.CONCAT(D35," OR ",F35),_xlfn.CONCAT(D35,F35))</f>
        <v>Donovan PJ AND Irvine OR 0000-0003-2557-664X</v>
      </c>
      <c r="F35" t="s">
        <v>89</v>
      </c>
      <c r="G35" t="s">
        <v>56</v>
      </c>
      <c r="H35" t="s">
        <v>14</v>
      </c>
      <c r="I35" t="s">
        <v>15</v>
      </c>
      <c r="J35">
        <v>1721</v>
      </c>
      <c r="K35" t="s">
        <v>23</v>
      </c>
      <c r="L35" t="s">
        <v>17</v>
      </c>
      <c r="M35" s="1">
        <v>43862</v>
      </c>
      <c r="O35" s="1">
        <v>45793</v>
      </c>
      <c r="P35">
        <v>1</v>
      </c>
    </row>
    <row r="36" spans="1:16" hidden="1" x14ac:dyDescent="0.2">
      <c r="A36" t="s">
        <v>56</v>
      </c>
      <c r="B36" t="s">
        <v>87</v>
      </c>
      <c r="C36" t="s">
        <v>88</v>
      </c>
      <c r="F36" t="s">
        <v>89</v>
      </c>
      <c r="G36" t="s">
        <v>24</v>
      </c>
      <c r="H36" t="s">
        <v>19</v>
      </c>
      <c r="I36" t="s">
        <v>15</v>
      </c>
      <c r="J36">
        <v>1721</v>
      </c>
      <c r="K36" t="s">
        <v>23</v>
      </c>
      <c r="L36" t="s">
        <v>17</v>
      </c>
      <c r="M36" s="1">
        <v>38718</v>
      </c>
      <c r="O36" s="1">
        <v>45793</v>
      </c>
      <c r="P36">
        <v>0</v>
      </c>
    </row>
    <row r="37" spans="1:16" x14ac:dyDescent="0.2">
      <c r="A37" t="s">
        <v>56</v>
      </c>
      <c r="B37" t="s">
        <v>90</v>
      </c>
      <c r="C37" t="s">
        <v>91</v>
      </c>
      <c r="D37" t="str">
        <f>_xlfn.CONCAT(C37," AND Irvine")</f>
        <v>Jang C AND Irvine</v>
      </c>
      <c r="E37" t="str">
        <f>IF(F37&lt;&gt;"",_xlfn.CONCAT(D37," OR ",F37),_xlfn.CONCAT(D37,F37))</f>
        <v>Jang C AND Irvine OR 0000-0001-6651-4213</v>
      </c>
      <c r="F37" t="s">
        <v>92</v>
      </c>
      <c r="G37" t="s">
        <v>56</v>
      </c>
      <c r="H37" t="s">
        <v>14</v>
      </c>
      <c r="I37" t="s">
        <v>15</v>
      </c>
      <c r="J37">
        <v>1717</v>
      </c>
      <c r="K37" t="s">
        <v>28</v>
      </c>
      <c r="L37" t="s">
        <v>17</v>
      </c>
      <c r="M37" s="1">
        <v>43952</v>
      </c>
      <c r="O37" s="1">
        <v>45793</v>
      </c>
      <c r="P37">
        <v>1</v>
      </c>
    </row>
    <row r="38" spans="1:16" hidden="1" x14ac:dyDescent="0.2">
      <c r="A38" t="s">
        <v>56</v>
      </c>
      <c r="B38" t="s">
        <v>90</v>
      </c>
      <c r="C38" t="s">
        <v>91</v>
      </c>
      <c r="F38" t="s">
        <v>92</v>
      </c>
      <c r="G38" t="s">
        <v>93</v>
      </c>
      <c r="H38" t="s">
        <v>19</v>
      </c>
      <c r="I38" t="s">
        <v>15</v>
      </c>
      <c r="J38">
        <v>1717</v>
      </c>
      <c r="K38" t="s">
        <v>28</v>
      </c>
      <c r="L38" t="s">
        <v>17</v>
      </c>
      <c r="M38" s="1">
        <v>45474</v>
      </c>
      <c r="O38" s="1">
        <v>45793</v>
      </c>
      <c r="P38">
        <v>0</v>
      </c>
    </row>
    <row r="39" spans="1:16" x14ac:dyDescent="0.2">
      <c r="A39" t="s">
        <v>56</v>
      </c>
      <c r="B39" t="s">
        <v>94</v>
      </c>
      <c r="C39" t="s">
        <v>95</v>
      </c>
      <c r="D39" t="str">
        <f t="shared" ref="D39:D41" si="6">_xlfn.CONCAT(C39," AND Irvine")</f>
        <v>Kaiser P AND Irvine</v>
      </c>
      <c r="E39" t="str">
        <f t="shared" ref="E39:E41" si="7">IF(F39&lt;&gt;"",_xlfn.CONCAT(D39," OR ",F39),_xlfn.CONCAT(D39,F39))</f>
        <v>Kaiser P AND Irvine</v>
      </c>
      <c r="F39" s="2"/>
      <c r="G39" t="s">
        <v>56</v>
      </c>
      <c r="H39" t="s">
        <v>14</v>
      </c>
      <c r="I39" t="s">
        <v>15</v>
      </c>
      <c r="J39">
        <v>1721</v>
      </c>
      <c r="K39" t="s">
        <v>23</v>
      </c>
      <c r="L39" t="s">
        <v>17</v>
      </c>
      <c r="M39" s="1">
        <v>37135</v>
      </c>
      <c r="O39" s="1">
        <v>45793</v>
      </c>
      <c r="P39">
        <v>1</v>
      </c>
    </row>
    <row r="40" spans="1:16" x14ac:dyDescent="0.2">
      <c r="A40" t="s">
        <v>56</v>
      </c>
      <c r="B40" t="s">
        <v>96</v>
      </c>
      <c r="C40" t="s">
        <v>97</v>
      </c>
      <c r="D40" t="str">
        <f t="shared" si="6"/>
        <v>Kessenbrock K AND Irvine</v>
      </c>
      <c r="E40" t="str">
        <f t="shared" si="7"/>
        <v>Kessenbrock K AND Irvine</v>
      </c>
      <c r="F40" s="2"/>
      <c r="G40" t="s">
        <v>56</v>
      </c>
      <c r="H40" t="s">
        <v>14</v>
      </c>
      <c r="I40" t="s">
        <v>15</v>
      </c>
      <c r="J40">
        <v>1719</v>
      </c>
      <c r="K40" t="s">
        <v>16</v>
      </c>
      <c r="L40" t="s">
        <v>17</v>
      </c>
      <c r="M40" s="1">
        <v>42278</v>
      </c>
      <c r="O40" s="1">
        <v>45793</v>
      </c>
      <c r="P40">
        <v>1</v>
      </c>
    </row>
    <row r="41" spans="1:16" x14ac:dyDescent="0.2">
      <c r="A41" t="s">
        <v>56</v>
      </c>
      <c r="B41" t="s">
        <v>98</v>
      </c>
      <c r="C41" t="s">
        <v>249</v>
      </c>
      <c r="D41" t="str">
        <f t="shared" si="6"/>
        <v>Li Wei AND Irvine</v>
      </c>
      <c r="E41" t="str">
        <f t="shared" si="7"/>
        <v>Li Wei AND Irvine</v>
      </c>
      <c r="F41" s="2"/>
      <c r="G41" t="s">
        <v>56</v>
      </c>
      <c r="H41" t="s">
        <v>14</v>
      </c>
      <c r="I41" t="s">
        <v>15</v>
      </c>
      <c r="J41">
        <v>1721</v>
      </c>
      <c r="K41" t="s">
        <v>23</v>
      </c>
      <c r="L41" t="s">
        <v>17</v>
      </c>
      <c r="M41" s="1">
        <v>43691</v>
      </c>
      <c r="O41" s="1">
        <v>45793</v>
      </c>
      <c r="P41">
        <v>1</v>
      </c>
    </row>
    <row r="42" spans="1:16" hidden="1" x14ac:dyDescent="0.2">
      <c r="A42" t="s">
        <v>56</v>
      </c>
      <c r="B42" t="s">
        <v>98</v>
      </c>
      <c r="C42" t="s">
        <v>99</v>
      </c>
      <c r="F42" s="2"/>
      <c r="G42" t="s">
        <v>44</v>
      </c>
      <c r="H42" t="s">
        <v>19</v>
      </c>
      <c r="I42" t="s">
        <v>15</v>
      </c>
      <c r="J42">
        <v>1721</v>
      </c>
      <c r="K42" t="s">
        <v>23</v>
      </c>
      <c r="L42" t="s">
        <v>17</v>
      </c>
      <c r="M42" s="1">
        <v>45474</v>
      </c>
      <c r="O42" s="1">
        <v>45793</v>
      </c>
      <c r="P42">
        <v>0</v>
      </c>
    </row>
    <row r="43" spans="1:16" x14ac:dyDescent="0.2">
      <c r="A43" t="s">
        <v>56</v>
      </c>
      <c r="B43" t="s">
        <v>100</v>
      </c>
      <c r="C43" t="s">
        <v>101</v>
      </c>
      <c r="D43" t="str">
        <f>_xlfn.CONCAT(C43," AND Irvine")</f>
        <v>Liu H AND Irvine</v>
      </c>
      <c r="E43" t="str">
        <f>IF(F43&lt;&gt;"",_xlfn.CONCAT(D43," OR ",F43),_xlfn.CONCAT(D43,F43))</f>
        <v>Liu H AND Irvine</v>
      </c>
      <c r="F43" s="2"/>
      <c r="G43" t="s">
        <v>56</v>
      </c>
      <c r="H43" t="s">
        <v>14</v>
      </c>
      <c r="I43" t="s">
        <v>15</v>
      </c>
      <c r="J43">
        <v>1721</v>
      </c>
      <c r="K43" t="s">
        <v>23</v>
      </c>
      <c r="L43" t="s">
        <v>17</v>
      </c>
      <c r="M43" s="1">
        <v>34973</v>
      </c>
      <c r="O43" s="1">
        <v>45793</v>
      </c>
      <c r="P43">
        <v>1</v>
      </c>
    </row>
    <row r="44" spans="1:16" hidden="1" x14ac:dyDescent="0.2">
      <c r="A44" t="s">
        <v>56</v>
      </c>
      <c r="B44" t="s">
        <v>100</v>
      </c>
      <c r="C44" t="s">
        <v>101</v>
      </c>
      <c r="F44" s="2"/>
      <c r="G44" t="s">
        <v>57</v>
      </c>
      <c r="H44" t="s">
        <v>19</v>
      </c>
      <c r="I44" t="s">
        <v>15</v>
      </c>
      <c r="J44">
        <v>1721</v>
      </c>
      <c r="K44" t="s">
        <v>23</v>
      </c>
      <c r="L44" t="s">
        <v>17</v>
      </c>
      <c r="M44" s="1">
        <v>44197</v>
      </c>
      <c r="O44" s="1">
        <v>45793</v>
      </c>
      <c r="P44">
        <v>0</v>
      </c>
    </row>
    <row r="45" spans="1:16" x14ac:dyDescent="0.2">
      <c r="A45" t="s">
        <v>56</v>
      </c>
      <c r="B45" t="s">
        <v>102</v>
      </c>
      <c r="C45" t="s">
        <v>103</v>
      </c>
      <c r="D45" t="str">
        <f>_xlfn.CONCAT(C45," AND Irvine")</f>
        <v>Marazzi I AND Irvine</v>
      </c>
      <c r="E45" t="str">
        <f>IF(F45&lt;&gt;"",_xlfn.CONCAT(D45," OR ",F45),_xlfn.CONCAT(D45,F45))</f>
        <v>Marazzi I AND Irvine</v>
      </c>
      <c r="F45" s="2"/>
      <c r="G45" t="s">
        <v>56</v>
      </c>
      <c r="H45" t="s">
        <v>14</v>
      </c>
      <c r="I45" t="s">
        <v>15</v>
      </c>
      <c r="J45">
        <v>1721</v>
      </c>
      <c r="K45" t="s">
        <v>23</v>
      </c>
      <c r="L45" t="s">
        <v>17</v>
      </c>
      <c r="M45" s="1">
        <v>44837</v>
      </c>
      <c r="O45" s="1">
        <v>45793</v>
      </c>
      <c r="P45">
        <v>1</v>
      </c>
    </row>
    <row r="46" spans="1:16" hidden="1" x14ac:dyDescent="0.2">
      <c r="A46" t="s">
        <v>56</v>
      </c>
      <c r="B46" t="s">
        <v>102</v>
      </c>
      <c r="C46" t="s">
        <v>103</v>
      </c>
      <c r="F46" s="2"/>
      <c r="G46" t="s">
        <v>104</v>
      </c>
      <c r="H46" t="s">
        <v>19</v>
      </c>
      <c r="I46" t="s">
        <v>15</v>
      </c>
      <c r="J46">
        <v>1721</v>
      </c>
      <c r="K46" t="s">
        <v>23</v>
      </c>
      <c r="L46" t="s">
        <v>17</v>
      </c>
      <c r="M46" s="1">
        <v>45383</v>
      </c>
      <c r="O46" s="1">
        <v>45793</v>
      </c>
      <c r="P46">
        <v>0</v>
      </c>
    </row>
    <row r="47" spans="1:16" x14ac:dyDescent="0.2">
      <c r="A47" t="s">
        <v>56</v>
      </c>
      <c r="B47" t="s">
        <v>105</v>
      </c>
      <c r="C47" t="s">
        <v>106</v>
      </c>
      <c r="D47" t="str">
        <f>_xlfn.CONCAT(C47," AND Irvine")</f>
        <v>Masri S AND Irvine</v>
      </c>
      <c r="E47" t="str">
        <f>IF(F47&lt;&gt;"",_xlfn.CONCAT(D47," OR ",F47),_xlfn.CONCAT(D47,F47))</f>
        <v>Masri S AND Irvine OR 0000-0002-8619-8331</v>
      </c>
      <c r="F47" t="s">
        <v>107</v>
      </c>
      <c r="G47" t="s">
        <v>56</v>
      </c>
      <c r="H47" t="s">
        <v>14</v>
      </c>
      <c r="I47" t="s">
        <v>15</v>
      </c>
      <c r="J47">
        <v>1719</v>
      </c>
      <c r="K47" t="s">
        <v>16</v>
      </c>
      <c r="L47" t="s">
        <v>17</v>
      </c>
      <c r="M47" s="1">
        <v>40154</v>
      </c>
      <c r="O47" s="1">
        <v>45793</v>
      </c>
      <c r="P47">
        <v>1</v>
      </c>
    </row>
    <row r="48" spans="1:16" hidden="1" x14ac:dyDescent="0.2">
      <c r="A48" t="s">
        <v>56</v>
      </c>
      <c r="B48" t="s">
        <v>105</v>
      </c>
      <c r="C48" t="s">
        <v>106</v>
      </c>
      <c r="F48" t="s">
        <v>107</v>
      </c>
      <c r="G48" t="s">
        <v>93</v>
      </c>
      <c r="H48" t="s">
        <v>19</v>
      </c>
      <c r="I48" t="s">
        <v>15</v>
      </c>
      <c r="J48">
        <v>1719</v>
      </c>
      <c r="K48" t="s">
        <v>16</v>
      </c>
      <c r="L48" t="s">
        <v>17</v>
      </c>
      <c r="M48" s="1">
        <v>45397</v>
      </c>
      <c r="O48" s="1">
        <v>45793</v>
      </c>
      <c r="P48">
        <v>0</v>
      </c>
    </row>
    <row r="49" spans="1:16" x14ac:dyDescent="0.2">
      <c r="A49" t="s">
        <v>56</v>
      </c>
      <c r="B49" t="s">
        <v>108</v>
      </c>
      <c r="C49" t="s">
        <v>109</v>
      </c>
      <c r="D49" t="str">
        <f t="shared" ref="D49:D51" si="8">_xlfn.CONCAT(C49," AND Irvine")</f>
        <v>Ng SW AND Irvine</v>
      </c>
      <c r="E49" t="str">
        <f t="shared" ref="E49:E51" si="9">IF(F49&lt;&gt;"",_xlfn.CONCAT(D49," OR ",F49),_xlfn.CONCAT(D49,F49))</f>
        <v>Ng SW AND Irvine OR 0009-0009-0354-8454</v>
      </c>
      <c r="F49" t="s">
        <v>110</v>
      </c>
      <c r="G49" t="s">
        <v>56</v>
      </c>
      <c r="H49" t="s">
        <v>14</v>
      </c>
      <c r="I49" t="s">
        <v>15</v>
      </c>
      <c r="J49">
        <v>1717</v>
      </c>
      <c r="K49" t="s">
        <v>28</v>
      </c>
      <c r="L49" t="s">
        <v>17</v>
      </c>
      <c r="M49" s="1">
        <v>44866</v>
      </c>
      <c r="O49" s="1">
        <v>45793</v>
      </c>
      <c r="P49">
        <v>1</v>
      </c>
    </row>
    <row r="50" spans="1:16" x14ac:dyDescent="0.2">
      <c r="A50" t="s">
        <v>56</v>
      </c>
      <c r="B50" t="s">
        <v>111</v>
      </c>
      <c r="C50" t="s">
        <v>112</v>
      </c>
      <c r="D50" t="str">
        <f t="shared" si="8"/>
        <v>Qiao F AND Irvine</v>
      </c>
      <c r="E50" t="str">
        <f t="shared" si="9"/>
        <v>Qiao F AND Irvine</v>
      </c>
      <c r="F50" s="2"/>
      <c r="G50" t="s">
        <v>56</v>
      </c>
      <c r="H50" t="s">
        <v>14</v>
      </c>
      <c r="I50" t="s">
        <v>15</v>
      </c>
      <c r="J50">
        <v>1721</v>
      </c>
      <c r="K50" t="s">
        <v>23</v>
      </c>
      <c r="L50" t="s">
        <v>17</v>
      </c>
      <c r="M50" s="1">
        <v>41153</v>
      </c>
      <c r="O50" s="1">
        <v>45793</v>
      </c>
      <c r="P50">
        <v>1</v>
      </c>
    </row>
    <row r="51" spans="1:16" x14ac:dyDescent="0.2">
      <c r="A51" t="s">
        <v>56</v>
      </c>
      <c r="B51" t="s">
        <v>113</v>
      </c>
      <c r="C51" t="s">
        <v>114</v>
      </c>
      <c r="D51" t="str">
        <f t="shared" si="8"/>
        <v>Sandmeyer SB AND Irvine</v>
      </c>
      <c r="E51" t="str">
        <f t="shared" si="9"/>
        <v>Sandmeyer SB AND Irvine</v>
      </c>
      <c r="F51" s="2"/>
      <c r="G51" t="s">
        <v>56</v>
      </c>
      <c r="H51" t="s">
        <v>14</v>
      </c>
      <c r="I51" t="s">
        <v>15</v>
      </c>
      <c r="J51">
        <v>1721</v>
      </c>
      <c r="K51" t="s">
        <v>23</v>
      </c>
      <c r="L51" t="s">
        <v>17</v>
      </c>
      <c r="M51" s="1">
        <v>30621</v>
      </c>
      <c r="O51" s="1">
        <v>45793</v>
      </c>
      <c r="P51">
        <v>1</v>
      </c>
    </row>
    <row r="52" spans="1:16" hidden="1" x14ac:dyDescent="0.2">
      <c r="A52" t="s">
        <v>56</v>
      </c>
      <c r="B52" t="s">
        <v>113</v>
      </c>
      <c r="C52" t="s">
        <v>114</v>
      </c>
      <c r="F52" s="2"/>
      <c r="G52" t="s">
        <v>79</v>
      </c>
      <c r="H52" t="s">
        <v>19</v>
      </c>
      <c r="I52" t="s">
        <v>15</v>
      </c>
      <c r="J52">
        <v>1721</v>
      </c>
      <c r="K52" t="s">
        <v>23</v>
      </c>
      <c r="L52" t="s">
        <v>17</v>
      </c>
      <c r="M52" s="1">
        <v>30621</v>
      </c>
      <c r="O52" s="1">
        <v>45793</v>
      </c>
      <c r="P52">
        <v>0</v>
      </c>
    </row>
    <row r="53" spans="1:16" x14ac:dyDescent="0.2">
      <c r="A53" t="s">
        <v>56</v>
      </c>
      <c r="B53" t="s">
        <v>115</v>
      </c>
      <c r="C53" t="s">
        <v>116</v>
      </c>
      <c r="D53" t="str">
        <f>_xlfn.CONCAT(C53," AND Irvine")</f>
        <v>Seldin M AND Irvine</v>
      </c>
      <c r="E53" t="str">
        <f>IF(F53&lt;&gt;"",_xlfn.CONCAT(D53," OR ",F53),_xlfn.CONCAT(D53,F53))</f>
        <v>Seldin M AND Irvine</v>
      </c>
      <c r="F53" s="2"/>
      <c r="G53" t="s">
        <v>56</v>
      </c>
      <c r="H53" t="s">
        <v>14</v>
      </c>
      <c r="I53" t="s">
        <v>15</v>
      </c>
      <c r="J53">
        <v>1717</v>
      </c>
      <c r="K53" t="s">
        <v>28</v>
      </c>
      <c r="L53" t="s">
        <v>17</v>
      </c>
      <c r="M53" s="1">
        <v>43647</v>
      </c>
      <c r="O53" s="1">
        <v>45793</v>
      </c>
      <c r="P53">
        <v>1</v>
      </c>
    </row>
    <row r="54" spans="1:16" hidden="1" x14ac:dyDescent="0.2">
      <c r="A54" t="s">
        <v>56</v>
      </c>
      <c r="B54" t="s">
        <v>115</v>
      </c>
      <c r="C54" t="s">
        <v>116</v>
      </c>
      <c r="F54" s="2"/>
      <c r="G54" t="s">
        <v>93</v>
      </c>
      <c r="H54" t="s">
        <v>19</v>
      </c>
      <c r="I54" t="s">
        <v>15</v>
      </c>
      <c r="J54">
        <v>1717</v>
      </c>
      <c r="K54" t="s">
        <v>28</v>
      </c>
      <c r="L54" t="s">
        <v>17</v>
      </c>
      <c r="M54" s="1">
        <v>45383</v>
      </c>
      <c r="O54" s="1">
        <v>45793</v>
      </c>
      <c r="P54">
        <v>0</v>
      </c>
    </row>
    <row r="55" spans="1:16" x14ac:dyDescent="0.2">
      <c r="A55" t="s">
        <v>56</v>
      </c>
      <c r="B55" t="s">
        <v>117</v>
      </c>
      <c r="C55" t="s">
        <v>118</v>
      </c>
      <c r="D55" t="str">
        <f t="shared" ref="D55:D56" si="10">_xlfn.CONCAT(C55," AND Irvine")</f>
        <v>Steele RE AND Irvine</v>
      </c>
      <c r="E55" t="str">
        <f t="shared" ref="E55:E56" si="11">IF(F55&lt;&gt;"",_xlfn.CONCAT(D55," OR ",F55),_xlfn.CONCAT(D55,F55))</f>
        <v>Steele RE AND Irvine OR 0000-0001-5355-1656</v>
      </c>
      <c r="F55" t="s">
        <v>119</v>
      </c>
      <c r="G55" t="s">
        <v>56</v>
      </c>
      <c r="H55" t="s">
        <v>14</v>
      </c>
      <c r="I55" t="s">
        <v>15</v>
      </c>
      <c r="J55">
        <v>1721</v>
      </c>
      <c r="K55" t="s">
        <v>23</v>
      </c>
      <c r="L55" t="s">
        <v>17</v>
      </c>
      <c r="M55" s="1">
        <v>31533</v>
      </c>
      <c r="O55" s="1">
        <v>45793</v>
      </c>
      <c r="P55">
        <v>1</v>
      </c>
    </row>
    <row r="56" spans="1:16" x14ac:dyDescent="0.2">
      <c r="A56" t="s">
        <v>56</v>
      </c>
      <c r="B56" t="s">
        <v>120</v>
      </c>
      <c r="C56" t="s">
        <v>121</v>
      </c>
      <c r="D56" t="str">
        <f t="shared" si="10"/>
        <v>Yokomori K AND Irvine</v>
      </c>
      <c r="E56" t="str">
        <f t="shared" si="11"/>
        <v>Yokomori K AND Irvine</v>
      </c>
      <c r="F56" s="2"/>
      <c r="G56" t="s">
        <v>56</v>
      </c>
      <c r="H56" t="s">
        <v>14</v>
      </c>
      <c r="I56" t="s">
        <v>15</v>
      </c>
      <c r="J56">
        <v>1721</v>
      </c>
      <c r="K56" t="s">
        <v>23</v>
      </c>
      <c r="L56" t="s">
        <v>17</v>
      </c>
      <c r="M56" s="1">
        <v>35674</v>
      </c>
      <c r="O56" s="1">
        <v>45793</v>
      </c>
      <c r="P56">
        <v>1</v>
      </c>
    </row>
    <row r="57" spans="1:16" hidden="1" x14ac:dyDescent="0.2">
      <c r="A57" t="s">
        <v>122</v>
      </c>
      <c r="B57" t="s">
        <v>123</v>
      </c>
      <c r="C57" t="s">
        <v>124</v>
      </c>
      <c r="F57" s="2"/>
      <c r="G57" t="s">
        <v>24</v>
      </c>
      <c r="H57" t="s">
        <v>19</v>
      </c>
      <c r="I57" t="s">
        <v>15</v>
      </c>
      <c r="J57">
        <v>1721</v>
      </c>
      <c r="K57" t="s">
        <v>23</v>
      </c>
      <c r="L57" t="s">
        <v>17</v>
      </c>
      <c r="M57" s="1">
        <v>45397</v>
      </c>
      <c r="O57" s="1">
        <v>45793</v>
      </c>
      <c r="P57">
        <v>0</v>
      </c>
    </row>
    <row r="58" spans="1:16" x14ac:dyDescent="0.2">
      <c r="A58" t="s">
        <v>122</v>
      </c>
      <c r="B58" t="s">
        <v>123</v>
      </c>
      <c r="C58" t="s">
        <v>124</v>
      </c>
      <c r="D58" t="str">
        <f>_xlfn.CONCAT(C58," AND Irvine")</f>
        <v>Baker NE AND Irvine</v>
      </c>
      <c r="E58" t="str">
        <f>IF(F58&lt;&gt;"",_xlfn.CONCAT(D58," OR ",F58),_xlfn.CONCAT(D58,F58))</f>
        <v>Baker NE AND Irvine</v>
      </c>
      <c r="F58" s="2"/>
      <c r="G58" t="s">
        <v>79</v>
      </c>
      <c r="H58" t="s">
        <v>14</v>
      </c>
      <c r="I58" t="s">
        <v>15</v>
      </c>
      <c r="J58">
        <v>1721</v>
      </c>
      <c r="K58" t="s">
        <v>23</v>
      </c>
      <c r="L58" t="s">
        <v>17</v>
      </c>
      <c r="M58" s="1">
        <v>45397</v>
      </c>
      <c r="O58" s="1">
        <v>45793</v>
      </c>
      <c r="P58">
        <v>1</v>
      </c>
    </row>
    <row r="59" spans="1:16" hidden="1" x14ac:dyDescent="0.2">
      <c r="A59" t="s">
        <v>122</v>
      </c>
      <c r="B59" t="s">
        <v>125</v>
      </c>
      <c r="C59" t="s">
        <v>126</v>
      </c>
      <c r="F59" t="s">
        <v>127</v>
      </c>
      <c r="G59" t="s">
        <v>128</v>
      </c>
      <c r="H59" t="s">
        <v>19</v>
      </c>
      <c r="I59" t="s">
        <v>15</v>
      </c>
      <c r="J59">
        <v>1721</v>
      </c>
      <c r="K59" t="s">
        <v>23</v>
      </c>
      <c r="L59" t="s">
        <v>17</v>
      </c>
      <c r="M59" s="1">
        <v>35278</v>
      </c>
      <c r="O59" s="1">
        <v>45793</v>
      </c>
      <c r="P59">
        <v>0</v>
      </c>
    </row>
    <row r="60" spans="1:16" x14ac:dyDescent="0.2">
      <c r="A60" t="s">
        <v>122</v>
      </c>
      <c r="B60" t="s">
        <v>125</v>
      </c>
      <c r="C60" t="s">
        <v>126</v>
      </c>
      <c r="D60" t="str">
        <f t="shared" ref="D60:D61" si="12">_xlfn.CONCAT(C60," AND Irvine")</f>
        <v>Barbour AG AND Irvine</v>
      </c>
      <c r="E60" t="str">
        <f t="shared" ref="E60:E61" si="13">IF(F60&lt;&gt;"",_xlfn.CONCAT(D60," OR ",F60),_xlfn.CONCAT(D60,F60))</f>
        <v>Barbour AG AND Irvine OR 0000-0002-0719-5248</v>
      </c>
      <c r="F60" t="s">
        <v>127</v>
      </c>
      <c r="G60" t="s">
        <v>79</v>
      </c>
      <c r="H60" t="s">
        <v>14</v>
      </c>
      <c r="I60" t="s">
        <v>15</v>
      </c>
      <c r="J60">
        <v>1721</v>
      </c>
      <c r="K60" t="s">
        <v>23</v>
      </c>
      <c r="L60" t="s">
        <v>17</v>
      </c>
      <c r="M60" s="1">
        <v>35278</v>
      </c>
      <c r="O60" s="1">
        <v>45793</v>
      </c>
      <c r="P60">
        <v>1</v>
      </c>
    </row>
    <row r="61" spans="1:16" x14ac:dyDescent="0.2">
      <c r="A61" t="s">
        <v>122</v>
      </c>
      <c r="B61" t="s">
        <v>129</v>
      </c>
      <c r="C61" t="s">
        <v>130</v>
      </c>
      <c r="D61" t="str">
        <f t="shared" si="12"/>
        <v>Borrelli E AND Irvine</v>
      </c>
      <c r="E61" t="str">
        <f t="shared" si="13"/>
        <v>Borrelli E AND Irvine OR 0000-0002-1813-2541</v>
      </c>
      <c r="F61" t="s">
        <v>131</v>
      </c>
      <c r="G61" t="s">
        <v>79</v>
      </c>
      <c r="H61" t="s">
        <v>14</v>
      </c>
      <c r="I61" t="s">
        <v>15</v>
      </c>
      <c r="J61">
        <v>1721</v>
      </c>
      <c r="K61" t="s">
        <v>23</v>
      </c>
      <c r="L61" t="s">
        <v>17</v>
      </c>
      <c r="M61" s="1">
        <v>38847</v>
      </c>
      <c r="O61" s="1">
        <v>45793</v>
      </c>
      <c r="P61">
        <v>1</v>
      </c>
    </row>
    <row r="62" spans="1:16" hidden="1" x14ac:dyDescent="0.2">
      <c r="A62" t="s">
        <v>122</v>
      </c>
      <c r="B62" t="s">
        <v>129</v>
      </c>
      <c r="C62" t="s">
        <v>130</v>
      </c>
      <c r="F62" t="s">
        <v>131</v>
      </c>
      <c r="G62" t="s">
        <v>57</v>
      </c>
      <c r="H62" t="s">
        <v>19</v>
      </c>
      <c r="I62" t="s">
        <v>15</v>
      </c>
      <c r="J62">
        <v>1721</v>
      </c>
      <c r="K62" t="s">
        <v>23</v>
      </c>
      <c r="L62" t="s">
        <v>17</v>
      </c>
      <c r="M62" s="1">
        <v>38847</v>
      </c>
      <c r="O62" s="1">
        <v>45793</v>
      </c>
      <c r="P62">
        <v>0</v>
      </c>
    </row>
    <row r="63" spans="1:16" x14ac:dyDescent="0.2">
      <c r="A63" t="s">
        <v>122</v>
      </c>
      <c r="B63" t="s">
        <v>132</v>
      </c>
      <c r="C63" t="s">
        <v>133</v>
      </c>
      <c r="D63" t="str">
        <f t="shared" ref="D63:D64" si="14">_xlfn.CONCAT(C63," AND Irvine")</f>
        <v>Burke TP AND Irvine</v>
      </c>
      <c r="E63" t="str">
        <f t="shared" ref="E63:E64" si="15">IF(F63&lt;&gt;"",_xlfn.CONCAT(D63," OR ",F63),_xlfn.CONCAT(D63,F63))</f>
        <v>Burke TP AND Irvine</v>
      </c>
      <c r="F63" s="2"/>
      <c r="G63" t="s">
        <v>79</v>
      </c>
      <c r="H63" t="s">
        <v>14</v>
      </c>
      <c r="I63" t="s">
        <v>15</v>
      </c>
      <c r="J63">
        <v>1717</v>
      </c>
      <c r="K63" t="s">
        <v>28</v>
      </c>
      <c r="L63" t="s">
        <v>17</v>
      </c>
      <c r="M63" s="1">
        <v>44593</v>
      </c>
      <c r="O63" s="1">
        <v>45793</v>
      </c>
      <c r="P63">
        <v>1</v>
      </c>
    </row>
    <row r="64" spans="1:16" x14ac:dyDescent="0.2">
      <c r="A64" t="s">
        <v>122</v>
      </c>
      <c r="B64" t="s">
        <v>134</v>
      </c>
      <c r="C64" t="s">
        <v>236</v>
      </c>
      <c r="D64" t="str">
        <f t="shared" si="14"/>
        <v>Byun M AND Irvine</v>
      </c>
      <c r="E64" t="str">
        <f t="shared" si="15"/>
        <v>Byun M AND Irvine</v>
      </c>
      <c r="F64" s="2"/>
      <c r="G64" t="s">
        <v>79</v>
      </c>
      <c r="H64" t="s">
        <v>14</v>
      </c>
      <c r="I64" t="s">
        <v>15</v>
      </c>
      <c r="J64">
        <v>1717</v>
      </c>
      <c r="K64" t="s">
        <v>28</v>
      </c>
      <c r="L64" t="s">
        <v>17</v>
      </c>
      <c r="M64" s="1">
        <v>44835</v>
      </c>
      <c r="O64" s="1">
        <v>45793</v>
      </c>
      <c r="P64">
        <v>1</v>
      </c>
    </row>
    <row r="65" spans="1:16" hidden="1" x14ac:dyDescent="0.2">
      <c r="A65" t="s">
        <v>122</v>
      </c>
      <c r="B65" t="s">
        <v>135</v>
      </c>
      <c r="C65" t="s">
        <v>136</v>
      </c>
      <c r="F65" t="s">
        <v>137</v>
      </c>
      <c r="G65" t="s">
        <v>13</v>
      </c>
      <c r="H65" t="s">
        <v>19</v>
      </c>
      <c r="I65" t="s">
        <v>15</v>
      </c>
      <c r="J65">
        <v>1721</v>
      </c>
      <c r="K65" t="s">
        <v>23</v>
      </c>
      <c r="L65" t="s">
        <v>17</v>
      </c>
      <c r="M65" s="1">
        <v>32234</v>
      </c>
      <c r="O65" s="1">
        <v>45793</v>
      </c>
      <c r="P65">
        <v>0</v>
      </c>
    </row>
    <row r="66" spans="1:16" x14ac:dyDescent="0.2">
      <c r="A66" t="s">
        <v>122</v>
      </c>
      <c r="B66" t="s">
        <v>135</v>
      </c>
      <c r="C66" t="s">
        <v>136</v>
      </c>
      <c r="D66" t="str">
        <f>_xlfn.CONCAT(C66," AND Irvine")</f>
        <v>Goldin AL AND Irvine</v>
      </c>
      <c r="E66" t="str">
        <f>IF(F66&lt;&gt;"",_xlfn.CONCAT(D66," OR ",F66),_xlfn.CONCAT(D66,F66))</f>
        <v>Goldin AL AND Irvine OR 0000-0001-7159-0288</v>
      </c>
      <c r="F66" t="s">
        <v>137</v>
      </c>
      <c r="G66" t="s">
        <v>79</v>
      </c>
      <c r="H66" t="s">
        <v>14</v>
      </c>
      <c r="I66" t="s">
        <v>15</v>
      </c>
      <c r="J66">
        <v>1721</v>
      </c>
      <c r="K66" t="s">
        <v>23</v>
      </c>
      <c r="L66" t="s">
        <v>17</v>
      </c>
      <c r="M66" s="1">
        <v>32234</v>
      </c>
      <c r="O66" s="1">
        <v>45793</v>
      </c>
      <c r="P66">
        <v>1</v>
      </c>
    </row>
    <row r="67" spans="1:16" hidden="1" x14ac:dyDescent="0.2">
      <c r="A67" t="s">
        <v>122</v>
      </c>
      <c r="B67" t="s">
        <v>135</v>
      </c>
      <c r="C67" t="s">
        <v>136</v>
      </c>
      <c r="F67" t="s">
        <v>137</v>
      </c>
      <c r="G67" t="s">
        <v>138</v>
      </c>
      <c r="H67" t="s">
        <v>19</v>
      </c>
      <c r="I67" t="s">
        <v>15</v>
      </c>
      <c r="J67">
        <v>1721</v>
      </c>
      <c r="K67" t="s">
        <v>23</v>
      </c>
      <c r="L67" t="s">
        <v>17</v>
      </c>
      <c r="M67" s="1">
        <v>44013</v>
      </c>
      <c r="O67" s="1">
        <v>45793</v>
      </c>
      <c r="P67">
        <v>0</v>
      </c>
    </row>
    <row r="68" spans="1:16" x14ac:dyDescent="0.2">
      <c r="A68" t="s">
        <v>122</v>
      </c>
      <c r="B68" t="s">
        <v>139</v>
      </c>
      <c r="C68" t="s">
        <v>140</v>
      </c>
      <c r="D68" t="str">
        <f t="shared" ref="D68:D69" si="16">_xlfn.CONCAT(C68," AND Irvine")</f>
        <v>Hertel KJ AND Irvine</v>
      </c>
      <c r="E68" t="str">
        <f t="shared" ref="E68:E69" si="17">IF(F68&lt;&gt;"",_xlfn.CONCAT(D68," OR ",F68),_xlfn.CONCAT(D68,F68))</f>
        <v>Hertel KJ AND Irvine OR 0000-0002-7560-9529</v>
      </c>
      <c r="F68" t="s">
        <v>141</v>
      </c>
      <c r="G68" t="s">
        <v>79</v>
      </c>
      <c r="H68" t="s">
        <v>14</v>
      </c>
      <c r="I68" t="s">
        <v>15</v>
      </c>
      <c r="J68">
        <v>1721</v>
      </c>
      <c r="K68" t="s">
        <v>23</v>
      </c>
      <c r="L68" t="s">
        <v>17</v>
      </c>
      <c r="M68" s="1">
        <v>36404</v>
      </c>
      <c r="O68" s="1">
        <v>45793</v>
      </c>
      <c r="P68">
        <v>1</v>
      </c>
    </row>
    <row r="69" spans="1:16" x14ac:dyDescent="0.2">
      <c r="A69" t="s">
        <v>122</v>
      </c>
      <c r="B69" t="s">
        <v>142</v>
      </c>
      <c r="C69" t="s">
        <v>143</v>
      </c>
      <c r="D69" t="str">
        <f t="shared" si="16"/>
        <v>James AA AND Irvine</v>
      </c>
      <c r="E69" t="str">
        <f t="shared" si="17"/>
        <v>James AA AND Irvine</v>
      </c>
      <c r="F69" s="2"/>
      <c r="G69" t="s">
        <v>79</v>
      </c>
      <c r="H69" t="s">
        <v>14</v>
      </c>
      <c r="I69" t="s">
        <v>15</v>
      </c>
      <c r="J69">
        <v>1721</v>
      </c>
      <c r="K69" t="s">
        <v>23</v>
      </c>
      <c r="L69" t="s">
        <v>17</v>
      </c>
      <c r="M69" s="1">
        <v>43862</v>
      </c>
      <c r="O69" s="1">
        <v>45793</v>
      </c>
      <c r="P69">
        <v>1</v>
      </c>
    </row>
    <row r="70" spans="1:16" hidden="1" x14ac:dyDescent="0.2">
      <c r="A70" t="s">
        <v>122</v>
      </c>
      <c r="B70" t="s">
        <v>142</v>
      </c>
      <c r="C70" t="s">
        <v>143</v>
      </c>
      <c r="F70" s="2"/>
      <c r="G70" t="s">
        <v>144</v>
      </c>
      <c r="H70" t="s">
        <v>19</v>
      </c>
      <c r="I70" t="s">
        <v>15</v>
      </c>
      <c r="J70">
        <v>1721</v>
      </c>
      <c r="K70" t="s">
        <v>23</v>
      </c>
      <c r="L70" t="s">
        <v>17</v>
      </c>
      <c r="M70" s="1">
        <v>32690</v>
      </c>
      <c r="O70" s="1">
        <v>45793</v>
      </c>
      <c r="P70">
        <v>0</v>
      </c>
    </row>
    <row r="71" spans="1:16" x14ac:dyDescent="0.2">
      <c r="A71" t="s">
        <v>122</v>
      </c>
      <c r="B71" t="s">
        <v>145</v>
      </c>
      <c r="C71" t="s">
        <v>146</v>
      </c>
      <c r="D71" t="str">
        <f>_xlfn.CONCAT(C71," AND Irvine")</f>
        <v>Koyuncu OO AND Irvine</v>
      </c>
      <c r="E71" t="str">
        <f>IF(F71&lt;&gt;"",_xlfn.CONCAT(D71," OR ",F71),_xlfn.CONCAT(D71,F71))</f>
        <v>Koyuncu OO AND Irvine</v>
      </c>
      <c r="F71" s="2"/>
      <c r="G71" t="s">
        <v>79</v>
      </c>
      <c r="H71" t="s">
        <v>14</v>
      </c>
      <c r="I71" t="s">
        <v>15</v>
      </c>
      <c r="J71">
        <v>1717</v>
      </c>
      <c r="K71" t="s">
        <v>28</v>
      </c>
      <c r="L71" t="s">
        <v>17</v>
      </c>
      <c r="M71" s="1">
        <v>44200</v>
      </c>
      <c r="O71" s="1">
        <v>45793</v>
      </c>
      <c r="P71">
        <v>1</v>
      </c>
    </row>
    <row r="72" spans="1:16" hidden="1" x14ac:dyDescent="0.2">
      <c r="A72" t="s">
        <v>122</v>
      </c>
      <c r="B72" t="s">
        <v>147</v>
      </c>
      <c r="C72" t="s">
        <v>148</v>
      </c>
      <c r="F72" s="2"/>
      <c r="G72" t="s">
        <v>149</v>
      </c>
      <c r="H72" t="s">
        <v>19</v>
      </c>
      <c r="I72" t="s">
        <v>15</v>
      </c>
      <c r="J72">
        <v>1719</v>
      </c>
      <c r="K72" t="s">
        <v>16</v>
      </c>
      <c r="L72" t="s">
        <v>17</v>
      </c>
      <c r="M72" s="1">
        <v>43983</v>
      </c>
      <c r="O72" s="1">
        <v>45793</v>
      </c>
      <c r="P72">
        <v>0</v>
      </c>
    </row>
    <row r="73" spans="1:16" x14ac:dyDescent="0.2">
      <c r="A73" t="s">
        <v>122</v>
      </c>
      <c r="B73" t="s">
        <v>147</v>
      </c>
      <c r="C73" t="s">
        <v>148</v>
      </c>
      <c r="D73" t="str">
        <f t="shared" ref="D73:D74" si="18">_xlfn.CONCAT(C73," AND Irvine")</f>
        <v>Marsden MD AND Irvine</v>
      </c>
      <c r="E73" t="str">
        <f t="shared" ref="E73:E74" si="19">IF(F73&lt;&gt;"",_xlfn.CONCAT(D73," OR ",F73),_xlfn.CONCAT(D73,F73))</f>
        <v>Marsden MD AND Irvine</v>
      </c>
      <c r="F73" s="2"/>
      <c r="G73" t="s">
        <v>79</v>
      </c>
      <c r="H73" t="s">
        <v>14</v>
      </c>
      <c r="I73" t="s">
        <v>15</v>
      </c>
      <c r="J73">
        <v>1719</v>
      </c>
      <c r="K73" t="s">
        <v>16</v>
      </c>
      <c r="L73" t="s">
        <v>17</v>
      </c>
      <c r="M73" s="1">
        <v>43983</v>
      </c>
      <c r="O73" s="1">
        <v>45793</v>
      </c>
      <c r="P73">
        <v>1</v>
      </c>
    </row>
    <row r="74" spans="1:16" x14ac:dyDescent="0.2">
      <c r="A74" t="s">
        <v>122</v>
      </c>
      <c r="B74" t="s">
        <v>150</v>
      </c>
      <c r="C74" t="s">
        <v>151</v>
      </c>
      <c r="D74" t="str">
        <f t="shared" si="18"/>
        <v>McClelland M AND Irvine</v>
      </c>
      <c r="E74" t="str">
        <f t="shared" si="19"/>
        <v>McClelland M AND Irvine OR 0000-0003-1788-9347</v>
      </c>
      <c r="F74" t="s">
        <v>152</v>
      </c>
      <c r="G74" t="s">
        <v>79</v>
      </c>
      <c r="H74" t="s">
        <v>14</v>
      </c>
      <c r="I74" t="s">
        <v>15</v>
      </c>
      <c r="J74">
        <v>1721</v>
      </c>
      <c r="K74" t="s">
        <v>23</v>
      </c>
      <c r="L74" t="s">
        <v>17</v>
      </c>
      <c r="M74" s="1">
        <v>40087</v>
      </c>
      <c r="O74" s="1">
        <v>45793</v>
      </c>
      <c r="P74">
        <v>1</v>
      </c>
    </row>
    <row r="75" spans="1:16" hidden="1" x14ac:dyDescent="0.2">
      <c r="A75" t="s">
        <v>122</v>
      </c>
      <c r="B75" t="s">
        <v>150</v>
      </c>
      <c r="C75" t="s">
        <v>151</v>
      </c>
      <c r="F75" t="s">
        <v>152</v>
      </c>
      <c r="G75" t="s">
        <v>104</v>
      </c>
      <c r="H75" t="s">
        <v>19</v>
      </c>
      <c r="I75" t="s">
        <v>15</v>
      </c>
      <c r="J75">
        <v>1721</v>
      </c>
      <c r="K75" t="s">
        <v>23</v>
      </c>
      <c r="L75" t="s">
        <v>17</v>
      </c>
      <c r="M75" s="1">
        <v>43983</v>
      </c>
      <c r="O75" s="1">
        <v>45793</v>
      </c>
      <c r="P75">
        <v>0</v>
      </c>
    </row>
    <row r="76" spans="1:16" x14ac:dyDescent="0.2">
      <c r="A76" t="s">
        <v>122</v>
      </c>
      <c r="B76" t="s">
        <v>153</v>
      </c>
      <c r="C76" t="s">
        <v>154</v>
      </c>
      <c r="D76" t="str">
        <f t="shared" ref="D76:D79" si="20">_xlfn.CONCAT(C76," AND Irvine")</f>
        <v>Semler BL AND Irvine</v>
      </c>
      <c r="E76" t="str">
        <f t="shared" ref="E76:E79" si="21">IF(F76&lt;&gt;"",_xlfn.CONCAT(D76," OR ",F76),_xlfn.CONCAT(D76,F76))</f>
        <v>Semler BL AND Irvine</v>
      </c>
      <c r="F76" s="2"/>
      <c r="G76" t="s">
        <v>79</v>
      </c>
      <c r="H76" t="s">
        <v>14</v>
      </c>
      <c r="I76" t="s">
        <v>15</v>
      </c>
      <c r="J76">
        <v>1721</v>
      </c>
      <c r="K76" t="s">
        <v>23</v>
      </c>
      <c r="L76" t="s">
        <v>17</v>
      </c>
      <c r="M76" s="1">
        <v>30376</v>
      </c>
      <c r="O76" s="1">
        <v>45793</v>
      </c>
      <c r="P76">
        <v>1</v>
      </c>
    </row>
    <row r="77" spans="1:16" x14ac:dyDescent="0.2">
      <c r="A77" t="s">
        <v>122</v>
      </c>
      <c r="B77" t="s">
        <v>155</v>
      </c>
      <c r="C77" t="s">
        <v>156</v>
      </c>
      <c r="D77" t="str">
        <f t="shared" si="20"/>
        <v>Shi Y AND Irvine</v>
      </c>
      <c r="E77" t="str">
        <f t="shared" si="21"/>
        <v>Shi Y AND Irvine OR 0000-0003-2967-1230</v>
      </c>
      <c r="F77" t="s">
        <v>157</v>
      </c>
      <c r="G77" t="s">
        <v>79</v>
      </c>
      <c r="H77" t="s">
        <v>14</v>
      </c>
      <c r="I77" t="s">
        <v>15</v>
      </c>
      <c r="J77">
        <v>1721</v>
      </c>
      <c r="K77" t="s">
        <v>23</v>
      </c>
      <c r="L77" t="s">
        <v>17</v>
      </c>
      <c r="M77" s="1">
        <v>39614</v>
      </c>
      <c r="O77" s="1">
        <v>45793</v>
      </c>
      <c r="P77">
        <v>1</v>
      </c>
    </row>
    <row r="78" spans="1:16" x14ac:dyDescent="0.2">
      <c r="A78" t="s">
        <v>122</v>
      </c>
      <c r="B78" t="s">
        <v>158</v>
      </c>
      <c r="C78" t="s">
        <v>159</v>
      </c>
      <c r="D78" t="str">
        <f t="shared" si="20"/>
        <v>Tan M AND Irvine</v>
      </c>
      <c r="E78" t="str">
        <f t="shared" si="21"/>
        <v>Tan M AND Irvine</v>
      </c>
      <c r="F78" s="2"/>
      <c r="G78" t="s">
        <v>79</v>
      </c>
      <c r="H78" t="s">
        <v>14</v>
      </c>
      <c r="I78" t="s">
        <v>15</v>
      </c>
      <c r="J78">
        <v>1721</v>
      </c>
      <c r="K78" t="s">
        <v>23</v>
      </c>
      <c r="L78" t="s">
        <v>17</v>
      </c>
      <c r="M78" s="1">
        <v>35855</v>
      </c>
      <c r="O78" s="1">
        <v>45793</v>
      </c>
      <c r="P78">
        <v>1</v>
      </c>
    </row>
    <row r="79" spans="1:16" x14ac:dyDescent="0.2">
      <c r="A79" t="s">
        <v>160</v>
      </c>
      <c r="B79" t="s">
        <v>161</v>
      </c>
      <c r="C79" t="s">
        <v>162</v>
      </c>
      <c r="D79" t="str">
        <f t="shared" si="20"/>
        <v>Abbott GW AND Irvine</v>
      </c>
      <c r="E79" t="str">
        <f t="shared" si="21"/>
        <v>Abbott GW AND Irvine</v>
      </c>
      <c r="F79" s="2"/>
      <c r="G79" t="s">
        <v>138</v>
      </c>
      <c r="H79" t="s">
        <v>14</v>
      </c>
      <c r="I79" t="s">
        <v>15</v>
      </c>
      <c r="J79">
        <v>1721</v>
      </c>
      <c r="K79" t="s">
        <v>23</v>
      </c>
      <c r="L79" t="s">
        <v>17</v>
      </c>
      <c r="M79" s="1">
        <v>40817</v>
      </c>
      <c r="O79" s="1">
        <v>45793</v>
      </c>
      <c r="P79">
        <v>1</v>
      </c>
    </row>
    <row r="80" spans="1:16" hidden="1" x14ac:dyDescent="0.2">
      <c r="A80" t="s">
        <v>160</v>
      </c>
      <c r="B80" t="s">
        <v>163</v>
      </c>
      <c r="C80" t="s">
        <v>164</v>
      </c>
      <c r="F80" t="s">
        <v>165</v>
      </c>
      <c r="G80" t="s">
        <v>44</v>
      </c>
      <c r="H80" t="s">
        <v>19</v>
      </c>
      <c r="I80" t="s">
        <v>15</v>
      </c>
      <c r="J80">
        <v>1717</v>
      </c>
      <c r="K80" t="s">
        <v>28</v>
      </c>
      <c r="L80" t="s">
        <v>17</v>
      </c>
      <c r="M80" s="1">
        <v>44013</v>
      </c>
      <c r="O80" s="1">
        <v>45793</v>
      </c>
      <c r="P80">
        <v>0</v>
      </c>
    </row>
    <row r="81" spans="1:16" hidden="1" x14ac:dyDescent="0.2">
      <c r="A81" t="s">
        <v>160</v>
      </c>
      <c r="B81" t="s">
        <v>163</v>
      </c>
      <c r="C81" t="s">
        <v>164</v>
      </c>
      <c r="F81" t="s">
        <v>166</v>
      </c>
      <c r="G81" t="s">
        <v>37</v>
      </c>
      <c r="H81" t="s">
        <v>19</v>
      </c>
      <c r="I81" t="s">
        <v>15</v>
      </c>
      <c r="J81">
        <v>1717</v>
      </c>
      <c r="K81" t="s">
        <v>28</v>
      </c>
      <c r="L81" t="s">
        <v>17</v>
      </c>
      <c r="M81" s="1">
        <v>43922</v>
      </c>
      <c r="O81" s="1">
        <v>45793</v>
      </c>
      <c r="P81">
        <v>0</v>
      </c>
    </row>
    <row r="82" spans="1:16" hidden="1" x14ac:dyDescent="0.2">
      <c r="A82" t="s">
        <v>160</v>
      </c>
      <c r="B82" t="s">
        <v>163</v>
      </c>
      <c r="C82" t="s">
        <v>164</v>
      </c>
      <c r="F82" t="s">
        <v>167</v>
      </c>
      <c r="G82" t="s">
        <v>57</v>
      </c>
      <c r="H82" t="s">
        <v>19</v>
      </c>
      <c r="I82" t="s">
        <v>15</v>
      </c>
      <c r="J82">
        <v>1719</v>
      </c>
      <c r="K82" t="s">
        <v>16</v>
      </c>
      <c r="L82" t="s">
        <v>17</v>
      </c>
      <c r="M82" s="1">
        <v>43347</v>
      </c>
      <c r="O82" s="1">
        <v>45793</v>
      </c>
      <c r="P82">
        <v>0</v>
      </c>
    </row>
    <row r="83" spans="1:16" x14ac:dyDescent="0.2">
      <c r="A83" t="s">
        <v>160</v>
      </c>
      <c r="B83" t="s">
        <v>163</v>
      </c>
      <c r="C83" t="s">
        <v>164</v>
      </c>
      <c r="D83" t="str">
        <f t="shared" ref="D83:D86" si="22">_xlfn.CONCAT(C83," AND Irvine")</f>
        <v>Beier KT AND Irvine</v>
      </c>
      <c r="E83" t="str">
        <f t="shared" ref="E83:E86" si="23">IF(F83&lt;&gt;"",_xlfn.CONCAT(D83," OR ",F83),_xlfn.CONCAT(D83,F83))</f>
        <v>Beier KT AND Irvine OR 0000-0002-4934-1341</v>
      </c>
      <c r="F83" t="s">
        <v>168</v>
      </c>
      <c r="G83" t="s">
        <v>138</v>
      </c>
      <c r="H83" t="s">
        <v>14</v>
      </c>
      <c r="I83" t="s">
        <v>15</v>
      </c>
      <c r="J83">
        <v>1719</v>
      </c>
      <c r="K83" t="s">
        <v>16</v>
      </c>
      <c r="L83" t="s">
        <v>17</v>
      </c>
      <c r="M83" s="1">
        <v>43347</v>
      </c>
      <c r="O83" s="1">
        <v>45793</v>
      </c>
      <c r="P83">
        <v>1</v>
      </c>
    </row>
    <row r="84" spans="1:16" x14ac:dyDescent="0.2">
      <c r="A84" t="s">
        <v>160</v>
      </c>
      <c r="B84" t="s">
        <v>169</v>
      </c>
      <c r="C84" t="s">
        <v>170</v>
      </c>
      <c r="D84" t="str">
        <f t="shared" si="22"/>
        <v>Cahalan MD AND Irvine</v>
      </c>
      <c r="E84" t="str">
        <f t="shared" si="23"/>
        <v>Cahalan MD AND Irvine</v>
      </c>
      <c r="F84" s="2"/>
      <c r="G84" t="s">
        <v>138</v>
      </c>
      <c r="H84" t="s">
        <v>14</v>
      </c>
      <c r="I84" t="s">
        <v>15</v>
      </c>
      <c r="J84">
        <v>1721</v>
      </c>
      <c r="K84" t="s">
        <v>23</v>
      </c>
      <c r="L84" t="s">
        <v>17</v>
      </c>
      <c r="M84" s="1">
        <v>28338</v>
      </c>
      <c r="O84" s="1">
        <v>45793</v>
      </c>
      <c r="P84">
        <v>1</v>
      </c>
    </row>
    <row r="85" spans="1:16" x14ac:dyDescent="0.2">
      <c r="A85" t="s">
        <v>160</v>
      </c>
      <c r="B85" t="s">
        <v>171</v>
      </c>
      <c r="C85" t="s">
        <v>172</v>
      </c>
      <c r="D85" t="str">
        <f t="shared" si="22"/>
        <v>Davies DH AND Irvine</v>
      </c>
      <c r="E85" t="str">
        <f t="shared" si="23"/>
        <v>Davies DH AND Irvine</v>
      </c>
      <c r="F85" s="2"/>
      <c r="G85" t="s">
        <v>138</v>
      </c>
      <c r="H85" t="s">
        <v>14</v>
      </c>
      <c r="I85" t="s">
        <v>15</v>
      </c>
      <c r="J85">
        <v>1725</v>
      </c>
      <c r="K85" t="s">
        <v>173</v>
      </c>
      <c r="L85" t="s">
        <v>17</v>
      </c>
      <c r="M85" s="1">
        <v>37711</v>
      </c>
      <c r="O85" s="1">
        <v>45793</v>
      </c>
      <c r="P85">
        <v>1</v>
      </c>
    </row>
    <row r="86" spans="1:16" x14ac:dyDescent="0.2">
      <c r="A86" t="s">
        <v>160</v>
      </c>
      <c r="B86" t="s">
        <v>174</v>
      </c>
      <c r="C86" t="s">
        <v>235</v>
      </c>
      <c r="D86" t="str">
        <f t="shared" si="22"/>
        <v>Eguchi A AND Irvine</v>
      </c>
      <c r="E86" t="str">
        <f t="shared" si="23"/>
        <v>Eguchi A AND Irvine OR 0000-0003-3010-0275</v>
      </c>
      <c r="F86" t="s">
        <v>175</v>
      </c>
      <c r="G86" t="s">
        <v>138</v>
      </c>
      <c r="H86" t="s">
        <v>14</v>
      </c>
      <c r="I86" t="s">
        <v>15</v>
      </c>
      <c r="J86">
        <v>1717</v>
      </c>
      <c r="K86" t="s">
        <v>28</v>
      </c>
      <c r="L86" t="s">
        <v>17</v>
      </c>
      <c r="M86" s="1">
        <v>45139</v>
      </c>
      <c r="O86" s="1">
        <v>45793</v>
      </c>
      <c r="P86">
        <v>1</v>
      </c>
    </row>
    <row r="87" spans="1:16" hidden="1" x14ac:dyDescent="0.2">
      <c r="A87" t="s">
        <v>160</v>
      </c>
      <c r="B87" t="s">
        <v>176</v>
      </c>
      <c r="C87" t="s">
        <v>177</v>
      </c>
      <c r="F87" t="s">
        <v>178</v>
      </c>
      <c r="G87" t="s">
        <v>57</v>
      </c>
      <c r="H87" t="s">
        <v>19</v>
      </c>
      <c r="I87" t="s">
        <v>15</v>
      </c>
      <c r="J87">
        <v>1726</v>
      </c>
      <c r="K87" t="s">
        <v>179</v>
      </c>
      <c r="L87" t="s">
        <v>17</v>
      </c>
      <c r="M87" s="1">
        <v>45474</v>
      </c>
      <c r="O87" s="1">
        <v>45793</v>
      </c>
      <c r="P87">
        <v>0</v>
      </c>
    </row>
    <row r="88" spans="1:16" x14ac:dyDescent="0.2">
      <c r="A88" t="s">
        <v>160</v>
      </c>
      <c r="B88" t="s">
        <v>176</v>
      </c>
      <c r="C88" t="s">
        <v>177</v>
      </c>
      <c r="D88" t="str">
        <f t="shared" ref="D88:D90" si="24">_xlfn.CONCAT(C88," AND Irvine")</f>
        <v>Felgner PL AND Irvine</v>
      </c>
      <c r="E88" t="str">
        <f t="shared" ref="E88:E90" si="25">IF(F88&lt;&gt;"",_xlfn.CONCAT(D88," OR ",F88),_xlfn.CONCAT(D88,F88))</f>
        <v>Felgner PL AND Irvine OR 0000-0002-4117-8505</v>
      </c>
      <c r="F88" t="s">
        <v>178</v>
      </c>
      <c r="G88" t="s">
        <v>138</v>
      </c>
      <c r="H88" t="s">
        <v>14</v>
      </c>
      <c r="I88" t="s">
        <v>15</v>
      </c>
      <c r="J88">
        <v>1726</v>
      </c>
      <c r="K88" t="s">
        <v>179</v>
      </c>
      <c r="L88" t="s">
        <v>17</v>
      </c>
      <c r="M88" s="1">
        <v>37591</v>
      </c>
      <c r="O88" s="1">
        <v>45793</v>
      </c>
      <c r="P88">
        <v>1</v>
      </c>
    </row>
    <row r="89" spans="1:16" x14ac:dyDescent="0.2">
      <c r="A89" t="s">
        <v>160</v>
      </c>
      <c r="B89" t="s">
        <v>180</v>
      </c>
      <c r="C89" t="s">
        <v>181</v>
      </c>
      <c r="D89" t="str">
        <f t="shared" si="24"/>
        <v>Hicks MR AND Irvine</v>
      </c>
      <c r="E89" t="str">
        <f t="shared" si="25"/>
        <v>Hicks MR AND Irvine</v>
      </c>
      <c r="F89" s="2"/>
      <c r="G89" t="s">
        <v>138</v>
      </c>
      <c r="H89" t="s">
        <v>14</v>
      </c>
      <c r="I89" t="s">
        <v>15</v>
      </c>
      <c r="J89">
        <v>1717</v>
      </c>
      <c r="K89" t="s">
        <v>28</v>
      </c>
      <c r="L89" t="s">
        <v>17</v>
      </c>
      <c r="M89" s="1">
        <v>44044</v>
      </c>
      <c r="O89" s="1">
        <v>45793</v>
      </c>
      <c r="P89">
        <v>1</v>
      </c>
    </row>
    <row r="90" spans="1:16" x14ac:dyDescent="0.2">
      <c r="A90" t="s">
        <v>160</v>
      </c>
      <c r="B90" t="s">
        <v>182</v>
      </c>
      <c r="C90" t="s">
        <v>183</v>
      </c>
      <c r="D90" t="str">
        <f t="shared" si="24"/>
        <v>Holmes TC AND Irvine</v>
      </c>
      <c r="E90" t="str">
        <f t="shared" si="25"/>
        <v>Holmes TC AND Irvine OR 0000-0001-8152-8832</v>
      </c>
      <c r="F90" t="s">
        <v>184</v>
      </c>
      <c r="G90" t="s">
        <v>138</v>
      </c>
      <c r="H90" t="s">
        <v>14</v>
      </c>
      <c r="I90" t="s">
        <v>15</v>
      </c>
      <c r="J90">
        <v>1721</v>
      </c>
      <c r="K90" t="s">
        <v>23</v>
      </c>
      <c r="L90" t="s">
        <v>17</v>
      </c>
      <c r="M90" s="1">
        <v>39142</v>
      </c>
      <c r="O90" s="1">
        <v>45793</v>
      </c>
      <c r="P90">
        <v>1</v>
      </c>
    </row>
    <row r="91" spans="1:16" hidden="1" x14ac:dyDescent="0.2">
      <c r="A91" t="s">
        <v>160</v>
      </c>
      <c r="B91" t="s">
        <v>185</v>
      </c>
      <c r="C91" t="s">
        <v>186</v>
      </c>
      <c r="F91" t="s">
        <v>187</v>
      </c>
      <c r="G91" t="s">
        <v>56</v>
      </c>
      <c r="H91" t="s">
        <v>19</v>
      </c>
      <c r="I91" t="s">
        <v>15</v>
      </c>
      <c r="J91">
        <v>1721</v>
      </c>
      <c r="K91" t="s">
        <v>23</v>
      </c>
      <c r="L91" t="s">
        <v>17</v>
      </c>
      <c r="M91" s="1">
        <v>37803</v>
      </c>
      <c r="O91" s="1">
        <v>45793</v>
      </c>
      <c r="P91">
        <v>0</v>
      </c>
    </row>
    <row r="92" spans="1:16" hidden="1" x14ac:dyDescent="0.2">
      <c r="A92" t="s">
        <v>160</v>
      </c>
      <c r="B92" t="s">
        <v>185</v>
      </c>
      <c r="C92" t="s">
        <v>186</v>
      </c>
      <c r="F92" t="s">
        <v>188</v>
      </c>
      <c r="G92" t="s">
        <v>60</v>
      </c>
      <c r="H92" t="s">
        <v>19</v>
      </c>
      <c r="I92" t="s">
        <v>15</v>
      </c>
      <c r="J92">
        <v>1721</v>
      </c>
      <c r="K92" t="s">
        <v>23</v>
      </c>
      <c r="L92" t="s">
        <v>17</v>
      </c>
      <c r="M92" s="1">
        <v>37803</v>
      </c>
      <c r="O92" s="1">
        <v>45793</v>
      </c>
      <c r="P92">
        <v>0</v>
      </c>
    </row>
    <row r="93" spans="1:16" hidden="1" x14ac:dyDescent="0.2">
      <c r="A93" t="s">
        <v>160</v>
      </c>
      <c r="B93" t="s">
        <v>185</v>
      </c>
      <c r="C93" t="s">
        <v>186</v>
      </c>
      <c r="F93" t="s">
        <v>189</v>
      </c>
      <c r="G93" t="s">
        <v>57</v>
      </c>
      <c r="H93" t="s">
        <v>19</v>
      </c>
      <c r="I93" t="s">
        <v>15</v>
      </c>
      <c r="J93">
        <v>1721</v>
      </c>
      <c r="K93" t="s">
        <v>23</v>
      </c>
      <c r="L93" t="s">
        <v>17</v>
      </c>
      <c r="M93" s="1">
        <v>37803</v>
      </c>
      <c r="O93" s="1">
        <v>45793</v>
      </c>
      <c r="P93">
        <v>0</v>
      </c>
    </row>
    <row r="94" spans="1:16" x14ac:dyDescent="0.2">
      <c r="A94" t="s">
        <v>160</v>
      </c>
      <c r="B94" t="s">
        <v>185</v>
      </c>
      <c r="C94" t="s">
        <v>186</v>
      </c>
      <c r="D94" t="str">
        <f t="shared" ref="D94:D95" si="26">_xlfn.CONCAT(C94," AND Irvine")</f>
        <v>Huang L AND Irvine</v>
      </c>
      <c r="E94" t="str">
        <f t="shared" ref="E94:E95" si="27">IF(F94&lt;&gt;"",_xlfn.CONCAT(D94," OR ",F94),_xlfn.CONCAT(D94,F94))</f>
        <v>Huang L AND Irvine OR 0000-0002-3140-4690</v>
      </c>
      <c r="F94" t="s">
        <v>190</v>
      </c>
      <c r="G94" t="s">
        <v>138</v>
      </c>
      <c r="H94" t="s">
        <v>14</v>
      </c>
      <c r="I94" t="s">
        <v>15</v>
      </c>
      <c r="J94">
        <v>1721</v>
      </c>
      <c r="K94" t="s">
        <v>23</v>
      </c>
      <c r="L94" t="s">
        <v>17</v>
      </c>
      <c r="M94" s="1">
        <v>37803</v>
      </c>
      <c r="O94" s="1">
        <v>45793</v>
      </c>
      <c r="P94">
        <v>1</v>
      </c>
    </row>
    <row r="95" spans="1:16" x14ac:dyDescent="0.2">
      <c r="A95" t="s">
        <v>160</v>
      </c>
      <c r="B95" t="s">
        <v>191</v>
      </c>
      <c r="C95" t="s">
        <v>192</v>
      </c>
      <c r="D95" t="str">
        <f t="shared" si="26"/>
        <v>Jin R AND Irvine</v>
      </c>
      <c r="E95" t="str">
        <f t="shared" si="27"/>
        <v>Jin R AND Irvine</v>
      </c>
      <c r="F95" s="2"/>
      <c r="G95" t="s">
        <v>138</v>
      </c>
      <c r="H95" t="s">
        <v>14</v>
      </c>
      <c r="I95" t="s">
        <v>15</v>
      </c>
      <c r="J95">
        <v>1721</v>
      </c>
      <c r="K95" t="s">
        <v>23</v>
      </c>
      <c r="L95" t="s">
        <v>17</v>
      </c>
      <c r="M95" s="1">
        <v>41365</v>
      </c>
      <c r="O95" s="1">
        <v>45793</v>
      </c>
      <c r="P95">
        <v>1</v>
      </c>
    </row>
    <row r="96" spans="1:16" hidden="1" x14ac:dyDescent="0.2">
      <c r="A96" t="s">
        <v>160</v>
      </c>
      <c r="B96" t="s">
        <v>193</v>
      </c>
      <c r="C96" t="s">
        <v>194</v>
      </c>
      <c r="F96" s="2"/>
      <c r="G96" t="s">
        <v>44</v>
      </c>
      <c r="H96" t="s">
        <v>19</v>
      </c>
      <c r="I96" t="s">
        <v>15</v>
      </c>
      <c r="J96">
        <v>1717</v>
      </c>
      <c r="K96" t="s">
        <v>28</v>
      </c>
      <c r="L96" t="s">
        <v>17</v>
      </c>
      <c r="M96" s="1">
        <v>45474</v>
      </c>
      <c r="O96" s="1">
        <v>45793</v>
      </c>
      <c r="P96">
        <v>0</v>
      </c>
    </row>
    <row r="97" spans="1:16" x14ac:dyDescent="0.2">
      <c r="A97" t="s">
        <v>160</v>
      </c>
      <c r="B97" t="s">
        <v>193</v>
      </c>
      <c r="C97" t="s">
        <v>194</v>
      </c>
      <c r="D97" t="str">
        <f>_xlfn.CONCAT(C97," AND Irvine")</f>
        <v>Jusiak B AND Irvine</v>
      </c>
      <c r="E97" t="str">
        <f>IF(F97&lt;&gt;"",_xlfn.CONCAT(D97," OR ",F97),_xlfn.CONCAT(D97,F97))</f>
        <v>Jusiak B AND Irvine</v>
      </c>
      <c r="F97" s="2"/>
      <c r="G97" t="s">
        <v>138</v>
      </c>
      <c r="H97" t="s">
        <v>14</v>
      </c>
      <c r="I97" t="s">
        <v>15</v>
      </c>
      <c r="J97">
        <v>1717</v>
      </c>
      <c r="K97" t="s">
        <v>28</v>
      </c>
      <c r="L97" t="s">
        <v>17</v>
      </c>
      <c r="M97" s="1">
        <v>44378</v>
      </c>
      <c r="O97" s="1">
        <v>45793</v>
      </c>
      <c r="P97">
        <v>1</v>
      </c>
    </row>
    <row r="98" spans="1:16" hidden="1" x14ac:dyDescent="0.2">
      <c r="A98" t="s">
        <v>160</v>
      </c>
      <c r="B98" t="s">
        <v>195</v>
      </c>
      <c r="C98" t="s">
        <v>196</v>
      </c>
      <c r="F98" t="s">
        <v>197</v>
      </c>
      <c r="G98" t="s">
        <v>198</v>
      </c>
      <c r="H98" t="s">
        <v>19</v>
      </c>
      <c r="I98" t="s">
        <v>15</v>
      </c>
      <c r="J98">
        <v>1719</v>
      </c>
      <c r="K98" t="s">
        <v>16</v>
      </c>
      <c r="L98" t="s">
        <v>17</v>
      </c>
      <c r="M98" s="1">
        <v>44454</v>
      </c>
      <c r="O98" s="1">
        <v>45793</v>
      </c>
      <c r="P98">
        <v>0</v>
      </c>
    </row>
    <row r="99" spans="1:16" hidden="1" x14ac:dyDescent="0.2">
      <c r="A99" t="s">
        <v>160</v>
      </c>
      <c r="B99" t="s">
        <v>195</v>
      </c>
      <c r="C99" t="s">
        <v>196</v>
      </c>
      <c r="F99" t="s">
        <v>199</v>
      </c>
      <c r="G99" t="s">
        <v>200</v>
      </c>
      <c r="H99" t="s">
        <v>19</v>
      </c>
      <c r="I99" t="s">
        <v>15</v>
      </c>
      <c r="J99">
        <v>1719</v>
      </c>
      <c r="K99" t="s">
        <v>16</v>
      </c>
      <c r="L99" t="s">
        <v>17</v>
      </c>
      <c r="M99" s="1">
        <v>43891</v>
      </c>
      <c r="O99" s="1">
        <v>45793</v>
      </c>
      <c r="P99">
        <v>0</v>
      </c>
    </row>
    <row r="100" spans="1:16" x14ac:dyDescent="0.2">
      <c r="A100" t="s">
        <v>160</v>
      </c>
      <c r="B100" t="s">
        <v>195</v>
      </c>
      <c r="C100" t="s">
        <v>196</v>
      </c>
      <c r="D100" t="str">
        <f t="shared" ref="D100:D103" si="28">_xlfn.CONCAT(C100," AND Irvine")</f>
        <v>Kiser PD AND Irvine</v>
      </c>
      <c r="E100" t="str">
        <f t="shared" ref="E100:E103" si="29">IF(F100&lt;&gt;"",_xlfn.CONCAT(D100," OR ",F100),_xlfn.CONCAT(D100,F100))</f>
        <v>Kiser PD AND Irvine OR 0000-0003-1184-9541</v>
      </c>
      <c r="F100" t="s">
        <v>201</v>
      </c>
      <c r="G100" t="s">
        <v>138</v>
      </c>
      <c r="H100" t="s">
        <v>14</v>
      </c>
      <c r="I100" t="s">
        <v>15</v>
      </c>
      <c r="J100">
        <v>1719</v>
      </c>
      <c r="K100" t="s">
        <v>16</v>
      </c>
      <c r="L100" t="s">
        <v>17</v>
      </c>
      <c r="M100" s="1">
        <v>43353</v>
      </c>
      <c r="O100" s="1">
        <v>45793</v>
      </c>
      <c r="P100">
        <v>0.51</v>
      </c>
    </row>
    <row r="101" spans="1:16" x14ac:dyDescent="0.2">
      <c r="A101" t="s">
        <v>160</v>
      </c>
      <c r="B101" t="s">
        <v>202</v>
      </c>
      <c r="C101" t="s">
        <v>203</v>
      </c>
      <c r="D101" t="str">
        <f t="shared" si="28"/>
        <v>Lawson DA AND Irvine</v>
      </c>
      <c r="E101" t="str">
        <f t="shared" si="29"/>
        <v>Lawson DA AND Irvine OR 0000-0003-1692-0517</v>
      </c>
      <c r="F101" t="s">
        <v>204</v>
      </c>
      <c r="G101" t="s">
        <v>138</v>
      </c>
      <c r="H101" t="s">
        <v>14</v>
      </c>
      <c r="I101" t="s">
        <v>15</v>
      </c>
      <c r="J101">
        <v>1719</v>
      </c>
      <c r="K101" t="s">
        <v>16</v>
      </c>
      <c r="L101" t="s">
        <v>17</v>
      </c>
      <c r="M101" s="1">
        <v>42278</v>
      </c>
      <c r="O101" s="1">
        <v>45793</v>
      </c>
      <c r="P101">
        <v>1</v>
      </c>
    </row>
    <row r="102" spans="1:16" x14ac:dyDescent="0.2">
      <c r="A102" t="s">
        <v>160</v>
      </c>
      <c r="B102" t="s">
        <v>205</v>
      </c>
      <c r="C102" t="s">
        <v>206</v>
      </c>
      <c r="D102" t="str">
        <f t="shared" si="28"/>
        <v>Marangoni F AND Irvine</v>
      </c>
      <c r="E102" t="str">
        <f t="shared" si="29"/>
        <v>Marangoni F AND Irvine</v>
      </c>
      <c r="F102" s="2"/>
      <c r="G102" t="s">
        <v>138</v>
      </c>
      <c r="H102" t="s">
        <v>14</v>
      </c>
      <c r="I102" t="s">
        <v>15</v>
      </c>
      <c r="J102">
        <v>1717</v>
      </c>
      <c r="K102" t="s">
        <v>28</v>
      </c>
      <c r="L102" t="s">
        <v>17</v>
      </c>
      <c r="M102" s="1">
        <v>43707</v>
      </c>
      <c r="O102" s="1">
        <v>45793</v>
      </c>
      <c r="P102">
        <v>1</v>
      </c>
    </row>
    <row r="103" spans="1:16" x14ac:dyDescent="0.2">
      <c r="A103" t="s">
        <v>160</v>
      </c>
      <c r="B103" t="s">
        <v>207</v>
      </c>
      <c r="C103" t="s">
        <v>208</v>
      </c>
      <c r="D103" t="str">
        <f t="shared" si="28"/>
        <v>Othy S AND Irvine</v>
      </c>
      <c r="E103" t="str">
        <f t="shared" si="29"/>
        <v>Othy S AND Irvine OR 0000-0001-6832-5547</v>
      </c>
      <c r="F103" t="s">
        <v>209</v>
      </c>
      <c r="G103" t="s">
        <v>138</v>
      </c>
      <c r="H103" t="s">
        <v>14</v>
      </c>
      <c r="I103" t="s">
        <v>15</v>
      </c>
      <c r="J103">
        <v>1717</v>
      </c>
      <c r="K103" t="s">
        <v>28</v>
      </c>
      <c r="L103" t="s">
        <v>17</v>
      </c>
      <c r="M103" s="1">
        <v>41275</v>
      </c>
      <c r="O103" s="1">
        <v>45793</v>
      </c>
      <c r="P103">
        <v>1</v>
      </c>
    </row>
    <row r="104" spans="1:16" hidden="1" x14ac:dyDescent="0.2">
      <c r="A104" t="s">
        <v>160</v>
      </c>
      <c r="B104" t="s">
        <v>210</v>
      </c>
      <c r="C104" t="s">
        <v>211</v>
      </c>
      <c r="F104" t="s">
        <v>212</v>
      </c>
      <c r="G104" t="s">
        <v>138</v>
      </c>
      <c r="H104" t="s">
        <v>14</v>
      </c>
      <c r="I104" t="s">
        <v>48</v>
      </c>
      <c r="J104">
        <v>3269</v>
      </c>
      <c r="K104" t="s">
        <v>213</v>
      </c>
      <c r="L104" t="s">
        <v>17</v>
      </c>
      <c r="M104" s="1">
        <v>43103</v>
      </c>
      <c r="O104" s="1">
        <v>45793</v>
      </c>
      <c r="P104">
        <v>0.1</v>
      </c>
    </row>
    <row r="105" spans="1:16" hidden="1" x14ac:dyDescent="0.2">
      <c r="A105" t="s">
        <v>160</v>
      </c>
      <c r="B105" t="s">
        <v>214</v>
      </c>
      <c r="C105" t="s">
        <v>215</v>
      </c>
      <c r="F105" s="2"/>
      <c r="G105" t="s">
        <v>60</v>
      </c>
      <c r="H105" t="s">
        <v>19</v>
      </c>
      <c r="I105" t="s">
        <v>15</v>
      </c>
      <c r="J105">
        <v>1719</v>
      </c>
      <c r="K105" t="s">
        <v>16</v>
      </c>
      <c r="L105" t="s">
        <v>17</v>
      </c>
      <c r="M105" s="1">
        <v>40544</v>
      </c>
      <c r="O105" s="1">
        <v>45793</v>
      </c>
      <c r="P105">
        <v>0</v>
      </c>
    </row>
    <row r="106" spans="1:16" x14ac:dyDescent="0.2">
      <c r="A106" t="s">
        <v>160</v>
      </c>
      <c r="B106" t="s">
        <v>214</v>
      </c>
      <c r="C106" t="s">
        <v>215</v>
      </c>
      <c r="D106" t="str">
        <f>_xlfn.CONCAT(C106," AND Irvine")</f>
        <v>Pathak MM AND Irvine</v>
      </c>
      <c r="E106" t="str">
        <f>IF(F106&lt;&gt;"",_xlfn.CONCAT(D106," OR ",F106),_xlfn.CONCAT(D106,F106))</f>
        <v>Pathak MM AND Irvine</v>
      </c>
      <c r="F106" s="2"/>
      <c r="G106" t="s">
        <v>138</v>
      </c>
      <c r="H106" t="s">
        <v>14</v>
      </c>
      <c r="I106" t="s">
        <v>15</v>
      </c>
      <c r="J106">
        <v>1719</v>
      </c>
      <c r="K106" t="s">
        <v>16</v>
      </c>
      <c r="L106" t="s">
        <v>17</v>
      </c>
      <c r="M106" s="1">
        <v>40544</v>
      </c>
      <c r="O106" s="1">
        <v>45793</v>
      </c>
      <c r="P106">
        <v>1</v>
      </c>
    </row>
    <row r="107" spans="1:16" hidden="1" x14ac:dyDescent="0.2">
      <c r="A107" t="s">
        <v>160</v>
      </c>
      <c r="B107" t="s">
        <v>216</v>
      </c>
      <c r="C107" t="s">
        <v>217</v>
      </c>
      <c r="F107" t="s">
        <v>218</v>
      </c>
      <c r="G107" t="s">
        <v>138</v>
      </c>
      <c r="H107" t="s">
        <v>14</v>
      </c>
      <c r="I107" t="s">
        <v>48</v>
      </c>
      <c r="J107">
        <v>3279</v>
      </c>
      <c r="K107" t="s">
        <v>219</v>
      </c>
      <c r="L107" t="s">
        <v>17</v>
      </c>
      <c r="M107" s="1">
        <v>41330</v>
      </c>
      <c r="O107" s="1">
        <v>45793</v>
      </c>
      <c r="P107">
        <v>0.2172</v>
      </c>
    </row>
    <row r="108" spans="1:16" hidden="1" x14ac:dyDescent="0.2">
      <c r="A108" t="s">
        <v>160</v>
      </c>
      <c r="B108" t="s">
        <v>220</v>
      </c>
      <c r="C108" t="s">
        <v>221</v>
      </c>
      <c r="F108" s="2"/>
      <c r="G108" t="s">
        <v>198</v>
      </c>
      <c r="H108" t="s">
        <v>19</v>
      </c>
      <c r="I108" t="s">
        <v>48</v>
      </c>
      <c r="J108">
        <v>3279</v>
      </c>
      <c r="K108" t="s">
        <v>219</v>
      </c>
      <c r="L108" t="s">
        <v>17</v>
      </c>
      <c r="M108" s="1">
        <v>45108</v>
      </c>
      <c r="O108" s="1">
        <v>45793</v>
      </c>
      <c r="P108">
        <v>0</v>
      </c>
    </row>
    <row r="109" spans="1:16" hidden="1" x14ac:dyDescent="0.2">
      <c r="A109" t="s">
        <v>160</v>
      </c>
      <c r="B109" t="s">
        <v>220</v>
      </c>
      <c r="C109" t="s">
        <v>221</v>
      </c>
      <c r="F109" s="2"/>
      <c r="G109" t="s">
        <v>138</v>
      </c>
      <c r="H109" t="s">
        <v>14</v>
      </c>
      <c r="I109" t="s">
        <v>48</v>
      </c>
      <c r="J109">
        <v>1728</v>
      </c>
      <c r="K109" t="s">
        <v>222</v>
      </c>
      <c r="L109" t="s">
        <v>17</v>
      </c>
      <c r="M109" s="1">
        <v>44378</v>
      </c>
      <c r="O109" s="1">
        <v>45793</v>
      </c>
      <c r="P109">
        <v>1</v>
      </c>
    </row>
    <row r="110" spans="1:16" hidden="1" x14ac:dyDescent="0.2">
      <c r="A110" t="s">
        <v>160</v>
      </c>
      <c r="B110" t="s">
        <v>223</v>
      </c>
      <c r="C110" t="s">
        <v>224</v>
      </c>
      <c r="F110" s="2"/>
      <c r="G110" t="s">
        <v>200</v>
      </c>
      <c r="H110" t="s">
        <v>19</v>
      </c>
      <c r="I110" t="s">
        <v>15</v>
      </c>
      <c r="J110">
        <v>1717</v>
      </c>
      <c r="K110" t="s">
        <v>28</v>
      </c>
      <c r="L110" t="s">
        <v>17</v>
      </c>
      <c r="M110" s="1">
        <v>43905</v>
      </c>
      <c r="O110" s="1">
        <v>45793</v>
      </c>
      <c r="P110">
        <v>0</v>
      </c>
    </row>
    <row r="111" spans="1:16" x14ac:dyDescent="0.2">
      <c r="A111" t="s">
        <v>160</v>
      </c>
      <c r="B111" t="s">
        <v>223</v>
      </c>
      <c r="C111" t="s">
        <v>224</v>
      </c>
      <c r="D111" t="str">
        <f t="shared" ref="D111:D112" si="30">_xlfn.CONCAT(C111," AND Irvine")</f>
        <v>Skowronska-Krawczyk D AND Irvine</v>
      </c>
      <c r="E111" t="str">
        <f t="shared" ref="E111:E112" si="31">IF(F111&lt;&gt;"",_xlfn.CONCAT(D111," OR ",F111),_xlfn.CONCAT(D111,F111))</f>
        <v>Skowronska-Krawczyk D AND Irvine</v>
      </c>
      <c r="F111" s="2"/>
      <c r="G111" t="s">
        <v>138</v>
      </c>
      <c r="H111" t="s">
        <v>14</v>
      </c>
      <c r="I111" t="s">
        <v>15</v>
      </c>
      <c r="J111">
        <v>1719</v>
      </c>
      <c r="K111" t="s">
        <v>16</v>
      </c>
      <c r="L111" t="s">
        <v>17</v>
      </c>
      <c r="M111" s="1">
        <v>43905</v>
      </c>
      <c r="O111" s="1">
        <v>45793</v>
      </c>
      <c r="P111">
        <v>1</v>
      </c>
    </row>
    <row r="112" spans="1:16" x14ac:dyDescent="0.2">
      <c r="A112" t="s">
        <v>160</v>
      </c>
      <c r="B112" t="s">
        <v>225</v>
      </c>
      <c r="C112" t="s">
        <v>226</v>
      </c>
      <c r="D112" t="str">
        <f t="shared" si="30"/>
        <v>Tombola F AND Irvine</v>
      </c>
      <c r="E112" t="str">
        <f t="shared" si="31"/>
        <v>Tombola F AND Irvine</v>
      </c>
      <c r="F112" s="2"/>
      <c r="G112" t="s">
        <v>138</v>
      </c>
      <c r="H112" t="s">
        <v>14</v>
      </c>
      <c r="I112" t="s">
        <v>15</v>
      </c>
      <c r="J112">
        <v>1721</v>
      </c>
      <c r="K112" t="s">
        <v>23</v>
      </c>
      <c r="L112" t="s">
        <v>17</v>
      </c>
      <c r="M112" s="1">
        <v>39722</v>
      </c>
      <c r="O112" s="1">
        <v>45793</v>
      </c>
      <c r="P112">
        <v>1</v>
      </c>
    </row>
    <row r="113" spans="1:16" hidden="1" x14ac:dyDescent="0.2">
      <c r="A113" t="s">
        <v>160</v>
      </c>
      <c r="B113" t="s">
        <v>227</v>
      </c>
      <c r="C113" t="s">
        <v>228</v>
      </c>
      <c r="F113" s="2"/>
      <c r="G113" t="s">
        <v>229</v>
      </c>
      <c r="H113" t="s">
        <v>19</v>
      </c>
      <c r="I113" t="s">
        <v>15</v>
      </c>
      <c r="J113">
        <v>1717</v>
      </c>
      <c r="K113" t="s">
        <v>28</v>
      </c>
      <c r="L113" t="s">
        <v>17</v>
      </c>
      <c r="M113" s="1">
        <v>42278</v>
      </c>
      <c r="O113" s="1">
        <v>45793</v>
      </c>
      <c r="P113">
        <v>0</v>
      </c>
    </row>
    <row r="114" spans="1:16" x14ac:dyDescent="0.2">
      <c r="A114" t="s">
        <v>160</v>
      </c>
      <c r="B114" t="s">
        <v>227</v>
      </c>
      <c r="C114" t="s">
        <v>228</v>
      </c>
      <c r="D114" t="str">
        <f t="shared" ref="D114:D116" si="32">_xlfn.CONCAT(C114," AND Irvine")</f>
        <v>Villalta SA AND Irvine</v>
      </c>
      <c r="E114" t="str">
        <f t="shared" ref="E114:E116" si="33">IF(F114&lt;&gt;"",_xlfn.CONCAT(D114," OR ",F114),_xlfn.CONCAT(D114,F114))</f>
        <v>Villalta SA AND Irvine</v>
      </c>
      <c r="F114" s="2"/>
      <c r="G114" t="s">
        <v>138</v>
      </c>
      <c r="H114" t="s">
        <v>14</v>
      </c>
      <c r="I114" t="s">
        <v>15</v>
      </c>
      <c r="J114">
        <v>1719</v>
      </c>
      <c r="K114" t="s">
        <v>16</v>
      </c>
      <c r="L114" t="s">
        <v>17</v>
      </c>
      <c r="M114" s="1">
        <v>42278</v>
      </c>
      <c r="O114" s="1">
        <v>45793</v>
      </c>
      <c r="P114">
        <v>1</v>
      </c>
    </row>
    <row r="115" spans="1:16" x14ac:dyDescent="0.2">
      <c r="A115" t="s">
        <v>160</v>
      </c>
      <c r="B115" t="s">
        <v>230</v>
      </c>
      <c r="C115" t="s">
        <v>231</v>
      </c>
      <c r="D115" t="str">
        <f t="shared" si="32"/>
        <v>Wagar LE AND Irvine</v>
      </c>
      <c r="E115" t="str">
        <f t="shared" si="33"/>
        <v>Wagar LE AND Irvine OR 0000-0001-5980-3586</v>
      </c>
      <c r="F115" t="s">
        <v>232</v>
      </c>
      <c r="G115" t="s">
        <v>138</v>
      </c>
      <c r="H115" t="s">
        <v>14</v>
      </c>
      <c r="I115" t="s">
        <v>15</v>
      </c>
      <c r="J115">
        <v>1717</v>
      </c>
      <c r="K115" t="s">
        <v>28</v>
      </c>
      <c r="L115" t="s">
        <v>17</v>
      </c>
      <c r="M115" s="1">
        <v>44013</v>
      </c>
      <c r="O115" s="1">
        <v>45793</v>
      </c>
      <c r="P115">
        <v>1</v>
      </c>
    </row>
    <row r="116" spans="1:16" x14ac:dyDescent="0.2">
      <c r="A116" t="s">
        <v>160</v>
      </c>
      <c r="B116" t="s">
        <v>233</v>
      </c>
      <c r="C116" t="s">
        <v>234</v>
      </c>
      <c r="D116" t="str">
        <f t="shared" si="32"/>
        <v>Yu A AND Irvine</v>
      </c>
      <c r="E116" t="str">
        <f t="shared" si="33"/>
        <v>Yu A AND Irvine</v>
      </c>
      <c r="F116" s="2"/>
      <c r="G116" t="s">
        <v>138</v>
      </c>
      <c r="H116" t="s">
        <v>14</v>
      </c>
      <c r="I116" t="s">
        <v>15</v>
      </c>
      <c r="J116">
        <v>1717</v>
      </c>
      <c r="K116" t="s">
        <v>28</v>
      </c>
      <c r="L116" t="s">
        <v>17</v>
      </c>
      <c r="M116" s="1">
        <v>44835</v>
      </c>
      <c r="O116" s="1">
        <v>45793</v>
      </c>
      <c r="P116">
        <v>1</v>
      </c>
    </row>
    <row r="117" spans="1:16" x14ac:dyDescent="0.2">
      <c r="B117" t="s">
        <v>243</v>
      </c>
      <c r="C117" t="s">
        <v>244</v>
      </c>
      <c r="D117" t="str">
        <f>_xlfn.CONCAT(C117," AND Irvine")</f>
        <v>Monuki ES AND Irvine</v>
      </c>
      <c r="E117" t="str">
        <f>IF(F117&lt;&gt;"",_xlfn.CONCAT(D117," OR ",F117),_xlfn.CONCAT(D117,F117))</f>
        <v>Monuki ES AND Irvine OR 0000-0001-5130-781X</v>
      </c>
      <c r="F117" t="s">
        <v>247</v>
      </c>
      <c r="G117" t="s">
        <v>248</v>
      </c>
    </row>
  </sheetData>
  <autoFilter ref="A1:P117" xr:uid="{CF1E9FC5-491E-4DE9-BC02-85B888A709ED}">
    <filterColumn colId="8">
      <filters blank="1">
        <filter val="Senate Faculty"/>
      </filters>
    </filterColumn>
    <filterColumn colId="15">
      <filters blank="1">
        <filter val="0.51"/>
        <filter val="1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70DAA-2C9C-7F45-BCE1-D6C898B966B2}">
  <dimension ref="A1:P67"/>
  <sheetViews>
    <sheetView tabSelected="1" workbookViewId="0">
      <selection activeCell="F19" sqref="F19"/>
    </sheetView>
  </sheetViews>
  <sheetFormatPr baseColWidth="10" defaultRowHeight="15" x14ac:dyDescent="0.2"/>
  <sheetData>
    <row r="1" spans="1:16" x14ac:dyDescent="0.2">
      <c r="A1" t="s">
        <v>240</v>
      </c>
      <c r="B1" t="s">
        <v>239</v>
      </c>
      <c r="C1" t="s">
        <v>242</v>
      </c>
      <c r="D1" t="s">
        <v>241</v>
      </c>
      <c r="E1" t="s">
        <v>245</v>
      </c>
      <c r="F1" t="s">
        <v>246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">
      <c r="A2" t="s">
        <v>10</v>
      </c>
      <c r="B2" t="s">
        <v>11</v>
      </c>
      <c r="C2" t="s">
        <v>12</v>
      </c>
      <c r="D2" t="s">
        <v>250</v>
      </c>
      <c r="E2" t="s">
        <v>251</v>
      </c>
      <c r="F2" t="s">
        <v>237</v>
      </c>
      <c r="G2" t="s">
        <v>13</v>
      </c>
      <c r="H2" t="s">
        <v>14</v>
      </c>
      <c r="I2" t="s">
        <v>15</v>
      </c>
      <c r="J2">
        <v>1719</v>
      </c>
      <c r="K2" t="s">
        <v>16</v>
      </c>
      <c r="L2" t="s">
        <v>17</v>
      </c>
      <c r="M2">
        <v>39433</v>
      </c>
      <c r="O2">
        <v>45793</v>
      </c>
      <c r="P2">
        <v>1</v>
      </c>
    </row>
    <row r="3" spans="1:16" x14ac:dyDescent="0.2">
      <c r="A3" t="s">
        <v>10</v>
      </c>
      <c r="B3" t="s">
        <v>20</v>
      </c>
      <c r="C3" t="s">
        <v>21</v>
      </c>
      <c r="D3" t="s">
        <v>252</v>
      </c>
      <c r="E3" t="s">
        <v>253</v>
      </c>
      <c r="F3" t="s">
        <v>22</v>
      </c>
      <c r="G3" t="s">
        <v>13</v>
      </c>
      <c r="H3" t="s">
        <v>14</v>
      </c>
      <c r="I3" t="s">
        <v>15</v>
      </c>
      <c r="J3">
        <v>1721</v>
      </c>
      <c r="K3" t="s">
        <v>23</v>
      </c>
      <c r="L3" t="s">
        <v>17</v>
      </c>
      <c r="M3">
        <v>34731</v>
      </c>
      <c r="O3">
        <v>45793</v>
      </c>
      <c r="P3">
        <v>1</v>
      </c>
    </row>
    <row r="4" spans="1:16" x14ac:dyDescent="0.2">
      <c r="A4" t="s">
        <v>10</v>
      </c>
      <c r="B4" t="s">
        <v>25</v>
      </c>
      <c r="C4" t="s">
        <v>26</v>
      </c>
      <c r="D4" t="s">
        <v>254</v>
      </c>
      <c r="E4" t="s">
        <v>255</v>
      </c>
      <c r="F4" t="s">
        <v>27</v>
      </c>
      <c r="G4" t="s">
        <v>13</v>
      </c>
      <c r="H4" t="s">
        <v>14</v>
      </c>
      <c r="I4" t="s">
        <v>15</v>
      </c>
      <c r="J4">
        <v>1717</v>
      </c>
      <c r="K4" t="s">
        <v>28</v>
      </c>
      <c r="L4" t="s">
        <v>17</v>
      </c>
      <c r="M4">
        <v>43327</v>
      </c>
      <c r="O4">
        <v>45793</v>
      </c>
      <c r="P4">
        <v>1</v>
      </c>
    </row>
    <row r="5" spans="1:16" x14ac:dyDescent="0.2">
      <c r="A5" t="s">
        <v>10</v>
      </c>
      <c r="B5" t="s">
        <v>29</v>
      </c>
      <c r="C5" t="s">
        <v>30</v>
      </c>
      <c r="D5" t="s">
        <v>256</v>
      </c>
      <c r="E5" t="s">
        <v>256</v>
      </c>
      <c r="G5" t="s">
        <v>13</v>
      </c>
      <c r="H5" t="s">
        <v>14</v>
      </c>
      <c r="I5" t="s">
        <v>15</v>
      </c>
      <c r="J5">
        <v>1717</v>
      </c>
      <c r="K5" t="s">
        <v>28</v>
      </c>
      <c r="L5" t="s">
        <v>17</v>
      </c>
      <c r="M5">
        <v>44075</v>
      </c>
      <c r="O5">
        <v>45793</v>
      </c>
      <c r="P5">
        <v>1</v>
      </c>
    </row>
    <row r="6" spans="1:16" x14ac:dyDescent="0.2">
      <c r="A6" t="s">
        <v>10</v>
      </c>
      <c r="B6" t="s">
        <v>31</v>
      </c>
      <c r="C6" t="s">
        <v>32</v>
      </c>
      <c r="D6" t="s">
        <v>257</v>
      </c>
      <c r="E6" t="s">
        <v>258</v>
      </c>
      <c r="F6" t="s">
        <v>33</v>
      </c>
      <c r="G6" t="s">
        <v>13</v>
      </c>
      <c r="H6" t="s">
        <v>14</v>
      </c>
      <c r="I6" t="s">
        <v>15</v>
      </c>
      <c r="J6">
        <v>1717</v>
      </c>
      <c r="K6" t="s">
        <v>28</v>
      </c>
      <c r="L6" t="s">
        <v>17</v>
      </c>
      <c r="M6">
        <v>44166</v>
      </c>
      <c r="O6">
        <v>45793</v>
      </c>
      <c r="P6">
        <v>1</v>
      </c>
    </row>
    <row r="7" spans="1:16" x14ac:dyDescent="0.2">
      <c r="A7" t="s">
        <v>10</v>
      </c>
      <c r="B7" t="s">
        <v>34</v>
      </c>
      <c r="C7" t="s">
        <v>35</v>
      </c>
      <c r="D7" t="s">
        <v>259</v>
      </c>
      <c r="E7" t="s">
        <v>260</v>
      </c>
      <c r="F7" t="s">
        <v>36</v>
      </c>
      <c r="G7" t="s">
        <v>13</v>
      </c>
      <c r="H7" t="s">
        <v>14</v>
      </c>
      <c r="I7" t="s">
        <v>15</v>
      </c>
      <c r="J7">
        <v>1721</v>
      </c>
      <c r="K7" t="s">
        <v>23</v>
      </c>
      <c r="L7" t="s">
        <v>17</v>
      </c>
      <c r="M7">
        <v>29752</v>
      </c>
      <c r="O7">
        <v>45793</v>
      </c>
      <c r="P7">
        <v>1</v>
      </c>
    </row>
    <row r="8" spans="1:16" x14ac:dyDescent="0.2">
      <c r="A8" t="s">
        <v>10</v>
      </c>
      <c r="B8" t="s">
        <v>38</v>
      </c>
      <c r="C8" t="s">
        <v>39</v>
      </c>
      <c r="D8" t="s">
        <v>261</v>
      </c>
      <c r="E8" t="s">
        <v>262</v>
      </c>
      <c r="F8" t="s">
        <v>40</v>
      </c>
      <c r="G8" t="s">
        <v>13</v>
      </c>
      <c r="H8" t="s">
        <v>14</v>
      </c>
      <c r="I8" t="s">
        <v>15</v>
      </c>
      <c r="J8">
        <v>1719</v>
      </c>
      <c r="K8" t="s">
        <v>16</v>
      </c>
      <c r="L8" t="s">
        <v>17</v>
      </c>
      <c r="M8">
        <v>42036</v>
      </c>
      <c r="O8">
        <v>45793</v>
      </c>
      <c r="P8">
        <v>1</v>
      </c>
    </row>
    <row r="9" spans="1:16" x14ac:dyDescent="0.2">
      <c r="A9" t="s">
        <v>10</v>
      </c>
      <c r="B9" t="s">
        <v>41</v>
      </c>
      <c r="C9" t="s">
        <v>42</v>
      </c>
      <c r="D9" t="s">
        <v>263</v>
      </c>
      <c r="E9" t="s">
        <v>264</v>
      </c>
      <c r="F9" t="s">
        <v>43</v>
      </c>
      <c r="G9" t="s">
        <v>13</v>
      </c>
      <c r="H9" t="s">
        <v>14</v>
      </c>
      <c r="I9" t="s">
        <v>15</v>
      </c>
      <c r="J9">
        <v>1719</v>
      </c>
      <c r="K9" t="s">
        <v>16</v>
      </c>
      <c r="L9" t="s">
        <v>17</v>
      </c>
      <c r="M9">
        <v>42401</v>
      </c>
      <c r="O9">
        <v>45793</v>
      </c>
      <c r="P9">
        <v>1</v>
      </c>
    </row>
    <row r="10" spans="1:16" x14ac:dyDescent="0.2">
      <c r="A10" t="s">
        <v>10</v>
      </c>
      <c r="B10" t="s">
        <v>50</v>
      </c>
      <c r="C10" t="s">
        <v>51</v>
      </c>
      <c r="D10" t="s">
        <v>265</v>
      </c>
      <c r="E10" t="s">
        <v>266</v>
      </c>
      <c r="F10" t="s">
        <v>52</v>
      </c>
      <c r="G10" t="s">
        <v>13</v>
      </c>
      <c r="H10" t="s">
        <v>14</v>
      </c>
      <c r="I10" t="s">
        <v>15</v>
      </c>
      <c r="J10">
        <v>1721</v>
      </c>
      <c r="K10" t="s">
        <v>23</v>
      </c>
      <c r="L10" t="s">
        <v>17</v>
      </c>
      <c r="M10">
        <v>38961</v>
      </c>
      <c r="O10">
        <v>45793</v>
      </c>
      <c r="P10">
        <v>1</v>
      </c>
    </row>
    <row r="11" spans="1:16" x14ac:dyDescent="0.2">
      <c r="A11" t="s">
        <v>10</v>
      </c>
      <c r="B11" t="s">
        <v>53</v>
      </c>
      <c r="C11" t="s">
        <v>54</v>
      </c>
      <c r="D11" t="s">
        <v>267</v>
      </c>
      <c r="E11" t="s">
        <v>268</v>
      </c>
      <c r="F11" t="s">
        <v>55</v>
      </c>
      <c r="G11" t="s">
        <v>13</v>
      </c>
      <c r="H11" t="s">
        <v>14</v>
      </c>
      <c r="I11" t="s">
        <v>15</v>
      </c>
      <c r="J11">
        <v>1721</v>
      </c>
      <c r="K11" t="s">
        <v>23</v>
      </c>
      <c r="L11" t="s">
        <v>17</v>
      </c>
      <c r="M11">
        <v>35977</v>
      </c>
      <c r="O11">
        <v>45793</v>
      </c>
      <c r="P11">
        <v>1</v>
      </c>
    </row>
    <row r="12" spans="1:16" x14ac:dyDescent="0.2">
      <c r="A12" t="s">
        <v>10</v>
      </c>
      <c r="B12" t="s">
        <v>58</v>
      </c>
      <c r="C12" t="s">
        <v>59</v>
      </c>
      <c r="D12" t="s">
        <v>269</v>
      </c>
      <c r="E12" t="s">
        <v>270</v>
      </c>
      <c r="F12" t="s">
        <v>238</v>
      </c>
      <c r="G12" t="s">
        <v>13</v>
      </c>
      <c r="H12" t="s">
        <v>14</v>
      </c>
      <c r="I12" t="s">
        <v>15</v>
      </c>
      <c r="J12">
        <v>1721</v>
      </c>
      <c r="K12" t="s">
        <v>23</v>
      </c>
      <c r="L12" t="s">
        <v>17</v>
      </c>
      <c r="M12">
        <v>43800</v>
      </c>
      <c r="O12">
        <v>45793</v>
      </c>
      <c r="P12">
        <v>1</v>
      </c>
    </row>
    <row r="13" spans="1:16" x14ac:dyDescent="0.2">
      <c r="A13" t="s">
        <v>10</v>
      </c>
      <c r="B13" t="s">
        <v>63</v>
      </c>
      <c r="C13" t="s">
        <v>64</v>
      </c>
      <c r="D13" t="s">
        <v>271</v>
      </c>
      <c r="E13" t="s">
        <v>272</v>
      </c>
      <c r="F13" t="s">
        <v>65</v>
      </c>
      <c r="G13" t="s">
        <v>13</v>
      </c>
      <c r="H13" t="s">
        <v>14</v>
      </c>
      <c r="I13" t="s">
        <v>15</v>
      </c>
      <c r="J13">
        <v>1721</v>
      </c>
      <c r="K13" t="s">
        <v>23</v>
      </c>
      <c r="L13" t="s">
        <v>17</v>
      </c>
      <c r="M13">
        <v>36220</v>
      </c>
      <c r="O13">
        <v>45793</v>
      </c>
      <c r="P13">
        <v>1</v>
      </c>
    </row>
    <row r="14" spans="1:16" x14ac:dyDescent="0.2">
      <c r="A14" t="s">
        <v>10</v>
      </c>
      <c r="B14" t="s">
        <v>66</v>
      </c>
      <c r="C14" t="s">
        <v>67</v>
      </c>
      <c r="D14" t="s">
        <v>273</v>
      </c>
      <c r="E14" t="s">
        <v>274</v>
      </c>
      <c r="F14" t="s">
        <v>68</v>
      </c>
      <c r="G14" t="s">
        <v>13</v>
      </c>
      <c r="H14" t="s">
        <v>14</v>
      </c>
      <c r="I14" t="s">
        <v>15</v>
      </c>
      <c r="J14">
        <v>1717</v>
      </c>
      <c r="K14" t="s">
        <v>28</v>
      </c>
      <c r="L14" t="s">
        <v>17</v>
      </c>
      <c r="M14">
        <v>44044</v>
      </c>
      <c r="O14">
        <v>45793</v>
      </c>
      <c r="P14">
        <v>1</v>
      </c>
    </row>
    <row r="15" spans="1:16" x14ac:dyDescent="0.2">
      <c r="A15" t="s">
        <v>10</v>
      </c>
      <c r="B15" t="s">
        <v>72</v>
      </c>
      <c r="C15" t="s">
        <v>73</v>
      </c>
      <c r="D15" t="s">
        <v>275</v>
      </c>
      <c r="E15" t="s">
        <v>276</v>
      </c>
      <c r="F15" t="s">
        <v>74</v>
      </c>
      <c r="G15" t="s">
        <v>13</v>
      </c>
      <c r="H15" t="s">
        <v>14</v>
      </c>
      <c r="I15" t="s">
        <v>15</v>
      </c>
      <c r="J15">
        <v>1721</v>
      </c>
      <c r="K15" t="s">
        <v>23</v>
      </c>
      <c r="L15" t="s">
        <v>17</v>
      </c>
      <c r="M15">
        <v>39630</v>
      </c>
      <c r="O15">
        <v>45793</v>
      </c>
      <c r="P15">
        <v>1</v>
      </c>
    </row>
    <row r="16" spans="1:16" x14ac:dyDescent="0.2">
      <c r="A16" t="s">
        <v>56</v>
      </c>
      <c r="B16" t="s">
        <v>80</v>
      </c>
      <c r="C16" t="s">
        <v>81</v>
      </c>
      <c r="D16" t="s">
        <v>277</v>
      </c>
      <c r="E16" t="s">
        <v>278</v>
      </c>
      <c r="F16" t="s">
        <v>82</v>
      </c>
      <c r="G16" t="s">
        <v>56</v>
      </c>
      <c r="H16" t="s">
        <v>14</v>
      </c>
      <c r="I16" t="s">
        <v>15</v>
      </c>
      <c r="J16">
        <v>1719</v>
      </c>
      <c r="K16" t="s">
        <v>16</v>
      </c>
      <c r="L16" t="s">
        <v>17</v>
      </c>
      <c r="M16">
        <v>43344</v>
      </c>
      <c r="O16">
        <v>45793</v>
      </c>
      <c r="P16">
        <v>1</v>
      </c>
    </row>
    <row r="17" spans="1:16" x14ac:dyDescent="0.2">
      <c r="A17" t="s">
        <v>56</v>
      </c>
      <c r="B17" t="s">
        <v>83</v>
      </c>
      <c r="C17" t="s">
        <v>84</v>
      </c>
      <c r="D17" t="s">
        <v>279</v>
      </c>
      <c r="E17" t="s">
        <v>280</v>
      </c>
      <c r="F17" t="s">
        <v>85</v>
      </c>
      <c r="G17" t="s">
        <v>56</v>
      </c>
      <c r="H17" t="s">
        <v>14</v>
      </c>
      <c r="I17" t="s">
        <v>15</v>
      </c>
      <c r="J17">
        <v>1721</v>
      </c>
      <c r="K17" t="s">
        <v>23</v>
      </c>
      <c r="L17" t="s">
        <v>17</v>
      </c>
      <c r="M17">
        <v>36404</v>
      </c>
      <c r="O17">
        <v>45793</v>
      </c>
      <c r="P17">
        <v>1</v>
      </c>
    </row>
    <row r="18" spans="1:16" x14ac:dyDescent="0.2">
      <c r="A18" t="s">
        <v>56</v>
      </c>
      <c r="B18" t="s">
        <v>87</v>
      </c>
      <c r="C18" t="s">
        <v>88</v>
      </c>
      <c r="D18" t="s">
        <v>281</v>
      </c>
      <c r="E18" t="s">
        <v>282</v>
      </c>
      <c r="F18" t="s">
        <v>89</v>
      </c>
      <c r="G18" t="s">
        <v>56</v>
      </c>
      <c r="H18" t="s">
        <v>14</v>
      </c>
      <c r="I18" t="s">
        <v>15</v>
      </c>
      <c r="J18">
        <v>1721</v>
      </c>
      <c r="K18" t="s">
        <v>23</v>
      </c>
      <c r="L18" t="s">
        <v>17</v>
      </c>
      <c r="M18">
        <v>43862</v>
      </c>
      <c r="O18">
        <v>45793</v>
      </c>
      <c r="P18">
        <v>1</v>
      </c>
    </row>
    <row r="19" spans="1:16" x14ac:dyDescent="0.2">
      <c r="A19" t="s">
        <v>56</v>
      </c>
      <c r="B19" t="s">
        <v>90</v>
      </c>
      <c r="C19" t="s">
        <v>91</v>
      </c>
      <c r="D19" t="s">
        <v>283</v>
      </c>
      <c r="E19" t="s">
        <v>284</v>
      </c>
      <c r="F19" t="s">
        <v>92</v>
      </c>
      <c r="G19" t="s">
        <v>56</v>
      </c>
      <c r="H19" t="s">
        <v>14</v>
      </c>
      <c r="I19" t="s">
        <v>15</v>
      </c>
      <c r="J19">
        <v>1717</v>
      </c>
      <c r="K19" t="s">
        <v>28</v>
      </c>
      <c r="L19" t="s">
        <v>17</v>
      </c>
      <c r="M19">
        <v>43952</v>
      </c>
      <c r="O19">
        <v>45793</v>
      </c>
      <c r="P19">
        <v>1</v>
      </c>
    </row>
    <row r="20" spans="1:16" x14ac:dyDescent="0.2">
      <c r="A20" t="s">
        <v>56</v>
      </c>
      <c r="B20" t="s">
        <v>94</v>
      </c>
      <c r="C20" t="s">
        <v>95</v>
      </c>
      <c r="D20" t="s">
        <v>285</v>
      </c>
      <c r="E20" t="s">
        <v>285</v>
      </c>
      <c r="G20" t="s">
        <v>56</v>
      </c>
      <c r="H20" t="s">
        <v>14</v>
      </c>
      <c r="I20" t="s">
        <v>15</v>
      </c>
      <c r="J20">
        <v>1721</v>
      </c>
      <c r="K20" t="s">
        <v>23</v>
      </c>
      <c r="L20" t="s">
        <v>17</v>
      </c>
      <c r="M20">
        <v>37135</v>
      </c>
      <c r="O20">
        <v>45793</v>
      </c>
      <c r="P20">
        <v>1</v>
      </c>
    </row>
    <row r="21" spans="1:16" x14ac:dyDescent="0.2">
      <c r="A21" t="s">
        <v>56</v>
      </c>
      <c r="B21" t="s">
        <v>96</v>
      </c>
      <c r="C21" t="s">
        <v>97</v>
      </c>
      <c r="D21" t="s">
        <v>286</v>
      </c>
      <c r="E21" t="s">
        <v>286</v>
      </c>
      <c r="G21" t="s">
        <v>56</v>
      </c>
      <c r="H21" t="s">
        <v>14</v>
      </c>
      <c r="I21" t="s">
        <v>15</v>
      </c>
      <c r="J21">
        <v>1719</v>
      </c>
      <c r="K21" t="s">
        <v>16</v>
      </c>
      <c r="L21" t="s">
        <v>17</v>
      </c>
      <c r="M21">
        <v>42278</v>
      </c>
      <c r="O21">
        <v>45793</v>
      </c>
      <c r="P21">
        <v>1</v>
      </c>
    </row>
    <row r="22" spans="1:16" x14ac:dyDescent="0.2">
      <c r="A22" t="s">
        <v>56</v>
      </c>
      <c r="B22" t="s">
        <v>98</v>
      </c>
      <c r="C22" t="s">
        <v>249</v>
      </c>
      <c r="D22" t="s">
        <v>287</v>
      </c>
      <c r="E22" t="s">
        <v>287</v>
      </c>
      <c r="G22" t="s">
        <v>56</v>
      </c>
      <c r="H22" t="s">
        <v>14</v>
      </c>
      <c r="I22" t="s">
        <v>15</v>
      </c>
      <c r="J22">
        <v>1721</v>
      </c>
      <c r="K22" t="s">
        <v>23</v>
      </c>
      <c r="L22" t="s">
        <v>17</v>
      </c>
      <c r="M22">
        <v>43691</v>
      </c>
      <c r="O22">
        <v>45793</v>
      </c>
      <c r="P22">
        <v>1</v>
      </c>
    </row>
    <row r="23" spans="1:16" x14ac:dyDescent="0.2">
      <c r="A23" t="s">
        <v>56</v>
      </c>
      <c r="B23" t="s">
        <v>100</v>
      </c>
      <c r="C23" t="s">
        <v>101</v>
      </c>
      <c r="D23" t="s">
        <v>288</v>
      </c>
      <c r="E23" t="s">
        <v>288</v>
      </c>
      <c r="G23" t="s">
        <v>56</v>
      </c>
      <c r="H23" t="s">
        <v>14</v>
      </c>
      <c r="I23" t="s">
        <v>15</v>
      </c>
      <c r="J23">
        <v>1721</v>
      </c>
      <c r="K23" t="s">
        <v>23</v>
      </c>
      <c r="L23" t="s">
        <v>17</v>
      </c>
      <c r="M23">
        <v>34973</v>
      </c>
      <c r="O23">
        <v>45793</v>
      </c>
      <c r="P23">
        <v>1</v>
      </c>
    </row>
    <row r="24" spans="1:16" x14ac:dyDescent="0.2">
      <c r="A24" t="s">
        <v>56</v>
      </c>
      <c r="B24" t="s">
        <v>102</v>
      </c>
      <c r="C24" t="s">
        <v>103</v>
      </c>
      <c r="D24" t="s">
        <v>289</v>
      </c>
      <c r="E24" t="s">
        <v>289</v>
      </c>
      <c r="G24" t="s">
        <v>56</v>
      </c>
      <c r="H24" t="s">
        <v>14</v>
      </c>
      <c r="I24" t="s">
        <v>15</v>
      </c>
      <c r="J24">
        <v>1721</v>
      </c>
      <c r="K24" t="s">
        <v>23</v>
      </c>
      <c r="L24" t="s">
        <v>17</v>
      </c>
      <c r="M24">
        <v>44837</v>
      </c>
      <c r="O24">
        <v>45793</v>
      </c>
      <c r="P24">
        <v>1</v>
      </c>
    </row>
    <row r="25" spans="1:16" x14ac:dyDescent="0.2">
      <c r="A25" t="s">
        <v>56</v>
      </c>
      <c r="B25" t="s">
        <v>105</v>
      </c>
      <c r="C25" t="s">
        <v>106</v>
      </c>
      <c r="D25" t="s">
        <v>290</v>
      </c>
      <c r="E25" t="s">
        <v>291</v>
      </c>
      <c r="F25" t="s">
        <v>107</v>
      </c>
      <c r="G25" t="s">
        <v>56</v>
      </c>
      <c r="H25" t="s">
        <v>14</v>
      </c>
      <c r="I25" t="s">
        <v>15</v>
      </c>
      <c r="J25">
        <v>1719</v>
      </c>
      <c r="K25" t="s">
        <v>16</v>
      </c>
      <c r="L25" t="s">
        <v>17</v>
      </c>
      <c r="M25">
        <v>40154</v>
      </c>
      <c r="O25">
        <v>45793</v>
      </c>
      <c r="P25">
        <v>1</v>
      </c>
    </row>
    <row r="26" spans="1:16" x14ac:dyDescent="0.2">
      <c r="A26" t="s">
        <v>56</v>
      </c>
      <c r="B26" t="s">
        <v>108</v>
      </c>
      <c r="C26" t="s">
        <v>109</v>
      </c>
      <c r="D26" t="s">
        <v>292</v>
      </c>
      <c r="E26" t="s">
        <v>293</v>
      </c>
      <c r="F26" t="s">
        <v>110</v>
      </c>
      <c r="G26" t="s">
        <v>56</v>
      </c>
      <c r="H26" t="s">
        <v>14</v>
      </c>
      <c r="I26" t="s">
        <v>15</v>
      </c>
      <c r="J26">
        <v>1717</v>
      </c>
      <c r="K26" t="s">
        <v>28</v>
      </c>
      <c r="L26" t="s">
        <v>17</v>
      </c>
      <c r="M26">
        <v>44866</v>
      </c>
      <c r="O26">
        <v>45793</v>
      </c>
      <c r="P26">
        <v>1</v>
      </c>
    </row>
    <row r="27" spans="1:16" x14ac:dyDescent="0.2">
      <c r="A27" t="s">
        <v>56</v>
      </c>
      <c r="B27" t="s">
        <v>111</v>
      </c>
      <c r="C27" t="s">
        <v>112</v>
      </c>
      <c r="D27" t="s">
        <v>294</v>
      </c>
      <c r="E27" t="s">
        <v>294</v>
      </c>
      <c r="G27" t="s">
        <v>56</v>
      </c>
      <c r="H27" t="s">
        <v>14</v>
      </c>
      <c r="I27" t="s">
        <v>15</v>
      </c>
      <c r="J27">
        <v>1721</v>
      </c>
      <c r="K27" t="s">
        <v>23</v>
      </c>
      <c r="L27" t="s">
        <v>17</v>
      </c>
      <c r="M27">
        <v>41153</v>
      </c>
      <c r="O27">
        <v>45793</v>
      </c>
      <c r="P27">
        <v>1</v>
      </c>
    </row>
    <row r="28" spans="1:16" x14ac:dyDescent="0.2">
      <c r="A28" t="s">
        <v>56</v>
      </c>
      <c r="B28" t="s">
        <v>113</v>
      </c>
      <c r="C28" t="s">
        <v>114</v>
      </c>
      <c r="D28" t="s">
        <v>295</v>
      </c>
      <c r="E28" t="s">
        <v>295</v>
      </c>
      <c r="G28" t="s">
        <v>56</v>
      </c>
      <c r="H28" t="s">
        <v>14</v>
      </c>
      <c r="I28" t="s">
        <v>15</v>
      </c>
      <c r="J28">
        <v>1721</v>
      </c>
      <c r="K28" t="s">
        <v>23</v>
      </c>
      <c r="L28" t="s">
        <v>17</v>
      </c>
      <c r="M28">
        <v>30621</v>
      </c>
      <c r="O28">
        <v>45793</v>
      </c>
      <c r="P28">
        <v>1</v>
      </c>
    </row>
    <row r="29" spans="1:16" x14ac:dyDescent="0.2">
      <c r="A29" t="s">
        <v>56</v>
      </c>
      <c r="B29" t="s">
        <v>115</v>
      </c>
      <c r="C29" t="s">
        <v>116</v>
      </c>
      <c r="D29" t="s">
        <v>296</v>
      </c>
      <c r="E29" t="s">
        <v>296</v>
      </c>
      <c r="G29" t="s">
        <v>56</v>
      </c>
      <c r="H29" t="s">
        <v>14</v>
      </c>
      <c r="I29" t="s">
        <v>15</v>
      </c>
      <c r="J29">
        <v>1717</v>
      </c>
      <c r="K29" t="s">
        <v>28</v>
      </c>
      <c r="L29" t="s">
        <v>17</v>
      </c>
      <c r="M29">
        <v>43647</v>
      </c>
      <c r="O29">
        <v>45793</v>
      </c>
      <c r="P29">
        <v>1</v>
      </c>
    </row>
    <row r="30" spans="1:16" x14ac:dyDescent="0.2">
      <c r="A30" t="s">
        <v>56</v>
      </c>
      <c r="B30" t="s">
        <v>117</v>
      </c>
      <c r="C30" t="s">
        <v>118</v>
      </c>
      <c r="D30" t="s">
        <v>297</v>
      </c>
      <c r="E30" t="s">
        <v>298</v>
      </c>
      <c r="F30" t="s">
        <v>119</v>
      </c>
      <c r="G30" t="s">
        <v>56</v>
      </c>
      <c r="H30" t="s">
        <v>14</v>
      </c>
      <c r="I30" t="s">
        <v>15</v>
      </c>
      <c r="J30">
        <v>1721</v>
      </c>
      <c r="K30" t="s">
        <v>23</v>
      </c>
      <c r="L30" t="s">
        <v>17</v>
      </c>
      <c r="M30">
        <v>31533</v>
      </c>
      <c r="O30">
        <v>45793</v>
      </c>
      <c r="P30">
        <v>1</v>
      </c>
    </row>
    <row r="31" spans="1:16" x14ac:dyDescent="0.2">
      <c r="A31" t="s">
        <v>56</v>
      </c>
      <c r="B31" t="s">
        <v>120</v>
      </c>
      <c r="C31" t="s">
        <v>121</v>
      </c>
      <c r="D31" t="s">
        <v>299</v>
      </c>
      <c r="E31" t="s">
        <v>299</v>
      </c>
      <c r="G31" t="s">
        <v>56</v>
      </c>
      <c r="H31" t="s">
        <v>14</v>
      </c>
      <c r="I31" t="s">
        <v>15</v>
      </c>
      <c r="J31">
        <v>1721</v>
      </c>
      <c r="K31" t="s">
        <v>23</v>
      </c>
      <c r="L31" t="s">
        <v>17</v>
      </c>
      <c r="M31">
        <v>35674</v>
      </c>
      <c r="O31">
        <v>45793</v>
      </c>
      <c r="P31">
        <v>1</v>
      </c>
    </row>
    <row r="32" spans="1:16" x14ac:dyDescent="0.2">
      <c r="A32" t="s">
        <v>122</v>
      </c>
      <c r="B32" t="s">
        <v>123</v>
      </c>
      <c r="C32" t="s">
        <v>124</v>
      </c>
      <c r="D32" t="s">
        <v>300</v>
      </c>
      <c r="E32" t="s">
        <v>300</v>
      </c>
      <c r="G32" t="s">
        <v>79</v>
      </c>
      <c r="H32" t="s">
        <v>14</v>
      </c>
      <c r="I32" t="s">
        <v>15</v>
      </c>
      <c r="J32">
        <v>1721</v>
      </c>
      <c r="K32" t="s">
        <v>23</v>
      </c>
      <c r="L32" t="s">
        <v>17</v>
      </c>
      <c r="M32">
        <v>45397</v>
      </c>
      <c r="O32">
        <v>45793</v>
      </c>
      <c r="P32">
        <v>1</v>
      </c>
    </row>
    <row r="33" spans="1:16" x14ac:dyDescent="0.2">
      <c r="A33" t="s">
        <v>122</v>
      </c>
      <c r="B33" t="s">
        <v>125</v>
      </c>
      <c r="C33" t="s">
        <v>126</v>
      </c>
      <c r="D33" t="s">
        <v>301</v>
      </c>
      <c r="E33" t="s">
        <v>302</v>
      </c>
      <c r="F33" t="s">
        <v>127</v>
      </c>
      <c r="G33" t="s">
        <v>79</v>
      </c>
      <c r="H33" t="s">
        <v>14</v>
      </c>
      <c r="I33" t="s">
        <v>15</v>
      </c>
      <c r="J33">
        <v>1721</v>
      </c>
      <c r="K33" t="s">
        <v>23</v>
      </c>
      <c r="L33" t="s">
        <v>17</v>
      </c>
      <c r="M33">
        <v>35278</v>
      </c>
      <c r="O33">
        <v>45793</v>
      </c>
      <c r="P33">
        <v>1</v>
      </c>
    </row>
    <row r="34" spans="1:16" x14ac:dyDescent="0.2">
      <c r="A34" t="s">
        <v>122</v>
      </c>
      <c r="B34" t="s">
        <v>129</v>
      </c>
      <c r="C34" t="s">
        <v>130</v>
      </c>
      <c r="D34" t="s">
        <v>303</v>
      </c>
      <c r="E34" t="s">
        <v>304</v>
      </c>
      <c r="F34" t="s">
        <v>131</v>
      </c>
      <c r="G34" t="s">
        <v>79</v>
      </c>
      <c r="H34" t="s">
        <v>14</v>
      </c>
      <c r="I34" t="s">
        <v>15</v>
      </c>
      <c r="J34">
        <v>1721</v>
      </c>
      <c r="K34" t="s">
        <v>23</v>
      </c>
      <c r="L34" t="s">
        <v>17</v>
      </c>
      <c r="M34">
        <v>38847</v>
      </c>
      <c r="O34">
        <v>45793</v>
      </c>
      <c r="P34">
        <v>1</v>
      </c>
    </row>
    <row r="35" spans="1:16" x14ac:dyDescent="0.2">
      <c r="A35" t="s">
        <v>122</v>
      </c>
      <c r="B35" t="s">
        <v>132</v>
      </c>
      <c r="C35" t="s">
        <v>133</v>
      </c>
      <c r="D35" t="s">
        <v>305</v>
      </c>
      <c r="E35" t="s">
        <v>305</v>
      </c>
      <c r="G35" t="s">
        <v>79</v>
      </c>
      <c r="H35" t="s">
        <v>14</v>
      </c>
      <c r="I35" t="s">
        <v>15</v>
      </c>
      <c r="J35">
        <v>1717</v>
      </c>
      <c r="K35" t="s">
        <v>28</v>
      </c>
      <c r="L35" t="s">
        <v>17</v>
      </c>
      <c r="M35">
        <v>44593</v>
      </c>
      <c r="O35">
        <v>45793</v>
      </c>
      <c r="P35">
        <v>1</v>
      </c>
    </row>
    <row r="36" spans="1:16" x14ac:dyDescent="0.2">
      <c r="A36" t="s">
        <v>122</v>
      </c>
      <c r="B36" t="s">
        <v>134</v>
      </c>
      <c r="C36" t="s">
        <v>236</v>
      </c>
      <c r="D36" t="s">
        <v>306</v>
      </c>
      <c r="E36" t="s">
        <v>306</v>
      </c>
      <c r="G36" t="s">
        <v>79</v>
      </c>
      <c r="H36" t="s">
        <v>14</v>
      </c>
      <c r="I36" t="s">
        <v>15</v>
      </c>
      <c r="J36">
        <v>1717</v>
      </c>
      <c r="K36" t="s">
        <v>28</v>
      </c>
      <c r="L36" t="s">
        <v>17</v>
      </c>
      <c r="M36">
        <v>44835</v>
      </c>
      <c r="O36">
        <v>45793</v>
      </c>
      <c r="P36">
        <v>1</v>
      </c>
    </row>
    <row r="37" spans="1:16" x14ac:dyDescent="0.2">
      <c r="A37" t="s">
        <v>122</v>
      </c>
      <c r="B37" t="s">
        <v>135</v>
      </c>
      <c r="C37" t="s">
        <v>136</v>
      </c>
      <c r="D37" t="s">
        <v>307</v>
      </c>
      <c r="E37" t="s">
        <v>308</v>
      </c>
      <c r="F37" t="s">
        <v>137</v>
      </c>
      <c r="G37" t="s">
        <v>79</v>
      </c>
      <c r="H37" t="s">
        <v>14</v>
      </c>
      <c r="I37" t="s">
        <v>15</v>
      </c>
      <c r="J37">
        <v>1721</v>
      </c>
      <c r="K37" t="s">
        <v>23</v>
      </c>
      <c r="L37" t="s">
        <v>17</v>
      </c>
      <c r="M37">
        <v>32234</v>
      </c>
      <c r="O37">
        <v>45793</v>
      </c>
      <c r="P37">
        <v>1</v>
      </c>
    </row>
    <row r="38" spans="1:16" x14ac:dyDescent="0.2">
      <c r="A38" t="s">
        <v>122</v>
      </c>
      <c r="B38" t="s">
        <v>139</v>
      </c>
      <c r="C38" t="s">
        <v>140</v>
      </c>
      <c r="D38" t="s">
        <v>309</v>
      </c>
      <c r="E38" t="s">
        <v>310</v>
      </c>
      <c r="F38" t="s">
        <v>141</v>
      </c>
      <c r="G38" t="s">
        <v>79</v>
      </c>
      <c r="H38" t="s">
        <v>14</v>
      </c>
      <c r="I38" t="s">
        <v>15</v>
      </c>
      <c r="J38">
        <v>1721</v>
      </c>
      <c r="K38" t="s">
        <v>23</v>
      </c>
      <c r="L38" t="s">
        <v>17</v>
      </c>
      <c r="M38">
        <v>36404</v>
      </c>
      <c r="O38">
        <v>45793</v>
      </c>
      <c r="P38">
        <v>1</v>
      </c>
    </row>
    <row r="39" spans="1:16" x14ac:dyDescent="0.2">
      <c r="A39" t="s">
        <v>122</v>
      </c>
      <c r="B39" t="s">
        <v>142</v>
      </c>
      <c r="C39" t="s">
        <v>143</v>
      </c>
      <c r="D39" t="s">
        <v>311</v>
      </c>
      <c r="E39" t="s">
        <v>311</v>
      </c>
      <c r="G39" t="s">
        <v>79</v>
      </c>
      <c r="H39" t="s">
        <v>14</v>
      </c>
      <c r="I39" t="s">
        <v>15</v>
      </c>
      <c r="J39">
        <v>1721</v>
      </c>
      <c r="K39" t="s">
        <v>23</v>
      </c>
      <c r="L39" t="s">
        <v>17</v>
      </c>
      <c r="M39">
        <v>43862</v>
      </c>
      <c r="O39">
        <v>45793</v>
      </c>
      <c r="P39">
        <v>1</v>
      </c>
    </row>
    <row r="40" spans="1:16" x14ac:dyDescent="0.2">
      <c r="A40" t="s">
        <v>122</v>
      </c>
      <c r="B40" t="s">
        <v>145</v>
      </c>
      <c r="C40" t="s">
        <v>146</v>
      </c>
      <c r="D40" t="s">
        <v>312</v>
      </c>
      <c r="E40" t="s">
        <v>312</v>
      </c>
      <c r="G40" t="s">
        <v>79</v>
      </c>
      <c r="H40" t="s">
        <v>14</v>
      </c>
      <c r="I40" t="s">
        <v>15</v>
      </c>
      <c r="J40">
        <v>1717</v>
      </c>
      <c r="K40" t="s">
        <v>28</v>
      </c>
      <c r="L40" t="s">
        <v>17</v>
      </c>
      <c r="M40">
        <v>44200</v>
      </c>
      <c r="O40">
        <v>45793</v>
      </c>
      <c r="P40">
        <v>1</v>
      </c>
    </row>
    <row r="41" spans="1:16" x14ac:dyDescent="0.2">
      <c r="A41" t="s">
        <v>122</v>
      </c>
      <c r="B41" t="s">
        <v>147</v>
      </c>
      <c r="C41" t="s">
        <v>148</v>
      </c>
      <c r="D41" t="s">
        <v>313</v>
      </c>
      <c r="E41" t="s">
        <v>313</v>
      </c>
      <c r="G41" t="s">
        <v>79</v>
      </c>
      <c r="H41" t="s">
        <v>14</v>
      </c>
      <c r="I41" t="s">
        <v>15</v>
      </c>
      <c r="J41">
        <v>1719</v>
      </c>
      <c r="K41" t="s">
        <v>16</v>
      </c>
      <c r="L41" t="s">
        <v>17</v>
      </c>
      <c r="M41">
        <v>43983</v>
      </c>
      <c r="O41">
        <v>45793</v>
      </c>
      <c r="P41">
        <v>1</v>
      </c>
    </row>
    <row r="42" spans="1:16" x14ac:dyDescent="0.2">
      <c r="A42" t="s">
        <v>122</v>
      </c>
      <c r="B42" t="s">
        <v>150</v>
      </c>
      <c r="C42" t="s">
        <v>151</v>
      </c>
      <c r="D42" t="s">
        <v>314</v>
      </c>
      <c r="E42" t="s">
        <v>315</v>
      </c>
      <c r="F42" t="s">
        <v>152</v>
      </c>
      <c r="G42" t="s">
        <v>79</v>
      </c>
      <c r="H42" t="s">
        <v>14</v>
      </c>
      <c r="I42" t="s">
        <v>15</v>
      </c>
      <c r="J42">
        <v>1721</v>
      </c>
      <c r="K42" t="s">
        <v>23</v>
      </c>
      <c r="L42" t="s">
        <v>17</v>
      </c>
      <c r="M42">
        <v>40087</v>
      </c>
      <c r="O42">
        <v>45793</v>
      </c>
      <c r="P42">
        <v>1</v>
      </c>
    </row>
    <row r="43" spans="1:16" x14ac:dyDescent="0.2">
      <c r="A43" t="s">
        <v>122</v>
      </c>
      <c r="B43" t="s">
        <v>153</v>
      </c>
      <c r="C43" t="s">
        <v>154</v>
      </c>
      <c r="D43" t="s">
        <v>316</v>
      </c>
      <c r="E43" t="s">
        <v>316</v>
      </c>
      <c r="G43" t="s">
        <v>79</v>
      </c>
      <c r="H43" t="s">
        <v>14</v>
      </c>
      <c r="I43" t="s">
        <v>15</v>
      </c>
      <c r="J43">
        <v>1721</v>
      </c>
      <c r="K43" t="s">
        <v>23</v>
      </c>
      <c r="L43" t="s">
        <v>17</v>
      </c>
      <c r="M43">
        <v>30376</v>
      </c>
      <c r="O43">
        <v>45793</v>
      </c>
      <c r="P43">
        <v>1</v>
      </c>
    </row>
    <row r="44" spans="1:16" x14ac:dyDescent="0.2">
      <c r="A44" t="s">
        <v>122</v>
      </c>
      <c r="B44" t="s">
        <v>155</v>
      </c>
      <c r="C44" t="s">
        <v>156</v>
      </c>
      <c r="D44" t="s">
        <v>317</v>
      </c>
      <c r="E44" t="s">
        <v>318</v>
      </c>
      <c r="F44" t="s">
        <v>157</v>
      </c>
      <c r="G44" t="s">
        <v>79</v>
      </c>
      <c r="H44" t="s">
        <v>14</v>
      </c>
      <c r="I44" t="s">
        <v>15</v>
      </c>
      <c r="J44">
        <v>1721</v>
      </c>
      <c r="K44" t="s">
        <v>23</v>
      </c>
      <c r="L44" t="s">
        <v>17</v>
      </c>
      <c r="M44">
        <v>39614</v>
      </c>
      <c r="O44">
        <v>45793</v>
      </c>
      <c r="P44">
        <v>1</v>
      </c>
    </row>
    <row r="45" spans="1:16" x14ac:dyDescent="0.2">
      <c r="A45" t="s">
        <v>122</v>
      </c>
      <c r="B45" t="s">
        <v>158</v>
      </c>
      <c r="C45" t="s">
        <v>159</v>
      </c>
      <c r="D45" t="s">
        <v>319</v>
      </c>
      <c r="E45" t="s">
        <v>319</v>
      </c>
      <c r="G45" t="s">
        <v>79</v>
      </c>
      <c r="H45" t="s">
        <v>14</v>
      </c>
      <c r="I45" t="s">
        <v>15</v>
      </c>
      <c r="J45">
        <v>1721</v>
      </c>
      <c r="K45" t="s">
        <v>23</v>
      </c>
      <c r="L45" t="s">
        <v>17</v>
      </c>
      <c r="M45">
        <v>35855</v>
      </c>
      <c r="O45">
        <v>45793</v>
      </c>
      <c r="P45">
        <v>1</v>
      </c>
    </row>
    <row r="46" spans="1:16" x14ac:dyDescent="0.2">
      <c r="A46" t="s">
        <v>160</v>
      </c>
      <c r="B46" t="s">
        <v>161</v>
      </c>
      <c r="C46" t="s">
        <v>162</v>
      </c>
      <c r="D46" t="s">
        <v>320</v>
      </c>
      <c r="E46" t="s">
        <v>320</v>
      </c>
      <c r="G46" t="s">
        <v>138</v>
      </c>
      <c r="H46" t="s">
        <v>14</v>
      </c>
      <c r="I46" t="s">
        <v>15</v>
      </c>
      <c r="J46">
        <v>1721</v>
      </c>
      <c r="K46" t="s">
        <v>23</v>
      </c>
      <c r="L46" t="s">
        <v>17</v>
      </c>
      <c r="M46">
        <v>40817</v>
      </c>
      <c r="O46">
        <v>45793</v>
      </c>
      <c r="P46">
        <v>1</v>
      </c>
    </row>
    <row r="47" spans="1:16" x14ac:dyDescent="0.2">
      <c r="A47" t="s">
        <v>160</v>
      </c>
      <c r="B47" t="s">
        <v>163</v>
      </c>
      <c r="C47" t="s">
        <v>164</v>
      </c>
      <c r="D47" t="s">
        <v>321</v>
      </c>
      <c r="E47" t="s">
        <v>322</v>
      </c>
      <c r="F47" t="s">
        <v>168</v>
      </c>
      <c r="G47" t="s">
        <v>138</v>
      </c>
      <c r="H47" t="s">
        <v>14</v>
      </c>
      <c r="I47" t="s">
        <v>15</v>
      </c>
      <c r="J47">
        <v>1719</v>
      </c>
      <c r="K47" t="s">
        <v>16</v>
      </c>
      <c r="L47" t="s">
        <v>17</v>
      </c>
      <c r="M47">
        <v>43347</v>
      </c>
      <c r="O47">
        <v>45793</v>
      </c>
      <c r="P47">
        <v>1</v>
      </c>
    </row>
    <row r="48" spans="1:16" x14ac:dyDescent="0.2">
      <c r="A48" t="s">
        <v>160</v>
      </c>
      <c r="B48" t="s">
        <v>169</v>
      </c>
      <c r="C48" t="s">
        <v>170</v>
      </c>
      <c r="D48" t="s">
        <v>323</v>
      </c>
      <c r="E48" t="s">
        <v>323</v>
      </c>
      <c r="G48" t="s">
        <v>138</v>
      </c>
      <c r="H48" t="s">
        <v>14</v>
      </c>
      <c r="I48" t="s">
        <v>15</v>
      </c>
      <c r="J48">
        <v>1721</v>
      </c>
      <c r="K48" t="s">
        <v>23</v>
      </c>
      <c r="L48" t="s">
        <v>17</v>
      </c>
      <c r="M48">
        <v>28338</v>
      </c>
      <c r="O48">
        <v>45793</v>
      </c>
      <c r="P48">
        <v>1</v>
      </c>
    </row>
    <row r="49" spans="1:16" x14ac:dyDescent="0.2">
      <c r="A49" t="s">
        <v>160</v>
      </c>
      <c r="B49" t="s">
        <v>171</v>
      </c>
      <c r="C49" t="s">
        <v>172</v>
      </c>
      <c r="D49" t="s">
        <v>324</v>
      </c>
      <c r="E49" t="s">
        <v>324</v>
      </c>
      <c r="G49" t="s">
        <v>138</v>
      </c>
      <c r="H49" t="s">
        <v>14</v>
      </c>
      <c r="I49" t="s">
        <v>15</v>
      </c>
      <c r="J49">
        <v>1725</v>
      </c>
      <c r="K49" t="s">
        <v>173</v>
      </c>
      <c r="L49" t="s">
        <v>17</v>
      </c>
      <c r="M49">
        <v>37711</v>
      </c>
      <c r="O49">
        <v>45793</v>
      </c>
      <c r="P49">
        <v>1</v>
      </c>
    </row>
    <row r="50" spans="1:16" x14ac:dyDescent="0.2">
      <c r="A50" t="s">
        <v>160</v>
      </c>
      <c r="B50" t="s">
        <v>174</v>
      </c>
      <c r="C50" t="s">
        <v>235</v>
      </c>
      <c r="D50" t="s">
        <v>325</v>
      </c>
      <c r="E50" t="s">
        <v>326</v>
      </c>
      <c r="F50" t="s">
        <v>175</v>
      </c>
      <c r="G50" t="s">
        <v>138</v>
      </c>
      <c r="H50" t="s">
        <v>14</v>
      </c>
      <c r="I50" t="s">
        <v>15</v>
      </c>
      <c r="J50">
        <v>1717</v>
      </c>
      <c r="K50" t="s">
        <v>28</v>
      </c>
      <c r="L50" t="s">
        <v>17</v>
      </c>
      <c r="M50">
        <v>45139</v>
      </c>
      <c r="O50">
        <v>45793</v>
      </c>
      <c r="P50">
        <v>1</v>
      </c>
    </row>
    <row r="51" spans="1:16" x14ac:dyDescent="0.2">
      <c r="A51" t="s">
        <v>160</v>
      </c>
      <c r="B51" t="s">
        <v>176</v>
      </c>
      <c r="C51" t="s">
        <v>177</v>
      </c>
      <c r="D51" t="s">
        <v>327</v>
      </c>
      <c r="E51" t="s">
        <v>328</v>
      </c>
      <c r="F51" t="s">
        <v>178</v>
      </c>
      <c r="G51" t="s">
        <v>138</v>
      </c>
      <c r="H51" t="s">
        <v>14</v>
      </c>
      <c r="I51" t="s">
        <v>15</v>
      </c>
      <c r="J51">
        <v>1726</v>
      </c>
      <c r="K51" t="s">
        <v>179</v>
      </c>
      <c r="L51" t="s">
        <v>17</v>
      </c>
      <c r="M51">
        <v>37591</v>
      </c>
      <c r="O51">
        <v>45793</v>
      </c>
      <c r="P51">
        <v>1</v>
      </c>
    </row>
    <row r="52" spans="1:16" x14ac:dyDescent="0.2">
      <c r="A52" t="s">
        <v>160</v>
      </c>
      <c r="B52" t="s">
        <v>180</v>
      </c>
      <c r="C52" t="s">
        <v>181</v>
      </c>
      <c r="D52" t="s">
        <v>329</v>
      </c>
      <c r="E52" t="s">
        <v>329</v>
      </c>
      <c r="G52" t="s">
        <v>138</v>
      </c>
      <c r="H52" t="s">
        <v>14</v>
      </c>
      <c r="I52" t="s">
        <v>15</v>
      </c>
      <c r="J52">
        <v>1717</v>
      </c>
      <c r="K52" t="s">
        <v>28</v>
      </c>
      <c r="L52" t="s">
        <v>17</v>
      </c>
      <c r="M52">
        <v>44044</v>
      </c>
      <c r="O52">
        <v>45793</v>
      </c>
      <c r="P52">
        <v>1</v>
      </c>
    </row>
    <row r="53" spans="1:16" x14ac:dyDescent="0.2">
      <c r="A53" t="s">
        <v>160</v>
      </c>
      <c r="B53" t="s">
        <v>182</v>
      </c>
      <c r="C53" t="s">
        <v>183</v>
      </c>
      <c r="D53" t="s">
        <v>330</v>
      </c>
      <c r="E53" t="s">
        <v>331</v>
      </c>
      <c r="F53" t="s">
        <v>184</v>
      </c>
      <c r="G53" t="s">
        <v>138</v>
      </c>
      <c r="H53" t="s">
        <v>14</v>
      </c>
      <c r="I53" t="s">
        <v>15</v>
      </c>
      <c r="J53">
        <v>1721</v>
      </c>
      <c r="K53" t="s">
        <v>23</v>
      </c>
      <c r="L53" t="s">
        <v>17</v>
      </c>
      <c r="M53">
        <v>39142</v>
      </c>
      <c r="O53">
        <v>45793</v>
      </c>
      <c r="P53">
        <v>1</v>
      </c>
    </row>
    <row r="54" spans="1:16" x14ac:dyDescent="0.2">
      <c r="A54" t="s">
        <v>160</v>
      </c>
      <c r="B54" t="s">
        <v>185</v>
      </c>
      <c r="C54" t="s">
        <v>186</v>
      </c>
      <c r="D54" t="s">
        <v>332</v>
      </c>
      <c r="E54" t="s">
        <v>333</v>
      </c>
      <c r="F54" t="s">
        <v>190</v>
      </c>
      <c r="G54" t="s">
        <v>138</v>
      </c>
      <c r="H54" t="s">
        <v>14</v>
      </c>
      <c r="I54" t="s">
        <v>15</v>
      </c>
      <c r="J54">
        <v>1721</v>
      </c>
      <c r="K54" t="s">
        <v>23</v>
      </c>
      <c r="L54" t="s">
        <v>17</v>
      </c>
      <c r="M54">
        <v>37803</v>
      </c>
      <c r="O54">
        <v>45793</v>
      </c>
      <c r="P54">
        <v>1</v>
      </c>
    </row>
    <row r="55" spans="1:16" x14ac:dyDescent="0.2">
      <c r="A55" t="s">
        <v>160</v>
      </c>
      <c r="B55" t="s">
        <v>191</v>
      </c>
      <c r="C55" t="s">
        <v>192</v>
      </c>
      <c r="D55" t="s">
        <v>334</v>
      </c>
      <c r="E55" t="s">
        <v>334</v>
      </c>
      <c r="G55" t="s">
        <v>138</v>
      </c>
      <c r="H55" t="s">
        <v>14</v>
      </c>
      <c r="I55" t="s">
        <v>15</v>
      </c>
      <c r="J55">
        <v>1721</v>
      </c>
      <c r="K55" t="s">
        <v>23</v>
      </c>
      <c r="L55" t="s">
        <v>17</v>
      </c>
      <c r="M55">
        <v>41365</v>
      </c>
      <c r="O55">
        <v>45793</v>
      </c>
      <c r="P55">
        <v>1</v>
      </c>
    </row>
    <row r="56" spans="1:16" x14ac:dyDescent="0.2">
      <c r="A56" t="s">
        <v>160</v>
      </c>
      <c r="B56" t="s">
        <v>193</v>
      </c>
      <c r="C56" t="s">
        <v>194</v>
      </c>
      <c r="D56" t="s">
        <v>335</v>
      </c>
      <c r="E56" t="s">
        <v>335</v>
      </c>
      <c r="G56" t="s">
        <v>138</v>
      </c>
      <c r="H56" t="s">
        <v>14</v>
      </c>
      <c r="I56" t="s">
        <v>15</v>
      </c>
      <c r="J56">
        <v>1717</v>
      </c>
      <c r="K56" t="s">
        <v>28</v>
      </c>
      <c r="L56" t="s">
        <v>17</v>
      </c>
      <c r="M56">
        <v>44378</v>
      </c>
      <c r="O56">
        <v>45793</v>
      </c>
      <c r="P56">
        <v>1</v>
      </c>
    </row>
    <row r="57" spans="1:16" x14ac:dyDescent="0.2">
      <c r="A57" t="s">
        <v>160</v>
      </c>
      <c r="B57" t="s">
        <v>195</v>
      </c>
      <c r="C57" t="s">
        <v>196</v>
      </c>
      <c r="D57" t="s">
        <v>336</v>
      </c>
      <c r="E57" t="s">
        <v>337</v>
      </c>
      <c r="F57" t="s">
        <v>201</v>
      </c>
      <c r="G57" t="s">
        <v>138</v>
      </c>
      <c r="H57" t="s">
        <v>14</v>
      </c>
      <c r="I57" t="s">
        <v>15</v>
      </c>
      <c r="J57">
        <v>1719</v>
      </c>
      <c r="K57" t="s">
        <v>16</v>
      </c>
      <c r="L57" t="s">
        <v>17</v>
      </c>
      <c r="M57">
        <v>43353</v>
      </c>
      <c r="O57">
        <v>45793</v>
      </c>
      <c r="P57">
        <v>0.51</v>
      </c>
    </row>
    <row r="58" spans="1:16" x14ac:dyDescent="0.2">
      <c r="A58" t="s">
        <v>160</v>
      </c>
      <c r="B58" t="s">
        <v>202</v>
      </c>
      <c r="C58" t="s">
        <v>203</v>
      </c>
      <c r="D58" t="s">
        <v>338</v>
      </c>
      <c r="E58" t="s">
        <v>339</v>
      </c>
      <c r="F58" t="s">
        <v>204</v>
      </c>
      <c r="G58" t="s">
        <v>138</v>
      </c>
      <c r="H58" t="s">
        <v>14</v>
      </c>
      <c r="I58" t="s">
        <v>15</v>
      </c>
      <c r="J58">
        <v>1719</v>
      </c>
      <c r="K58" t="s">
        <v>16</v>
      </c>
      <c r="L58" t="s">
        <v>17</v>
      </c>
      <c r="M58">
        <v>42278</v>
      </c>
      <c r="O58">
        <v>45793</v>
      </c>
      <c r="P58">
        <v>1</v>
      </c>
    </row>
    <row r="59" spans="1:16" x14ac:dyDescent="0.2">
      <c r="A59" t="s">
        <v>160</v>
      </c>
      <c r="B59" t="s">
        <v>205</v>
      </c>
      <c r="C59" t="s">
        <v>206</v>
      </c>
      <c r="D59" t="s">
        <v>340</v>
      </c>
      <c r="E59" t="s">
        <v>340</v>
      </c>
      <c r="G59" t="s">
        <v>138</v>
      </c>
      <c r="H59" t="s">
        <v>14</v>
      </c>
      <c r="I59" t="s">
        <v>15</v>
      </c>
      <c r="J59">
        <v>1717</v>
      </c>
      <c r="K59" t="s">
        <v>28</v>
      </c>
      <c r="L59" t="s">
        <v>17</v>
      </c>
      <c r="M59">
        <v>43707</v>
      </c>
      <c r="O59">
        <v>45793</v>
      </c>
      <c r="P59">
        <v>1</v>
      </c>
    </row>
    <row r="60" spans="1:16" x14ac:dyDescent="0.2">
      <c r="A60" t="s">
        <v>160</v>
      </c>
      <c r="B60" t="s">
        <v>207</v>
      </c>
      <c r="C60" t="s">
        <v>208</v>
      </c>
      <c r="D60" t="s">
        <v>341</v>
      </c>
      <c r="E60" t="s">
        <v>342</v>
      </c>
      <c r="F60" t="s">
        <v>209</v>
      </c>
      <c r="G60" t="s">
        <v>138</v>
      </c>
      <c r="H60" t="s">
        <v>14</v>
      </c>
      <c r="I60" t="s">
        <v>15</v>
      </c>
      <c r="J60">
        <v>1717</v>
      </c>
      <c r="K60" t="s">
        <v>28</v>
      </c>
      <c r="L60" t="s">
        <v>17</v>
      </c>
      <c r="M60">
        <v>41275</v>
      </c>
      <c r="O60">
        <v>45793</v>
      </c>
      <c r="P60">
        <v>1</v>
      </c>
    </row>
    <row r="61" spans="1:16" x14ac:dyDescent="0.2">
      <c r="A61" t="s">
        <v>160</v>
      </c>
      <c r="B61" t="s">
        <v>214</v>
      </c>
      <c r="C61" t="s">
        <v>215</v>
      </c>
      <c r="D61" t="s">
        <v>343</v>
      </c>
      <c r="E61" t="s">
        <v>343</v>
      </c>
      <c r="G61" t="s">
        <v>138</v>
      </c>
      <c r="H61" t="s">
        <v>14</v>
      </c>
      <c r="I61" t="s">
        <v>15</v>
      </c>
      <c r="J61">
        <v>1719</v>
      </c>
      <c r="K61" t="s">
        <v>16</v>
      </c>
      <c r="L61" t="s">
        <v>17</v>
      </c>
      <c r="M61">
        <v>40544</v>
      </c>
      <c r="O61">
        <v>45793</v>
      </c>
      <c r="P61">
        <v>1</v>
      </c>
    </row>
    <row r="62" spans="1:16" x14ac:dyDescent="0.2">
      <c r="A62" t="s">
        <v>160</v>
      </c>
      <c r="B62" t="s">
        <v>223</v>
      </c>
      <c r="C62" t="s">
        <v>224</v>
      </c>
      <c r="D62" t="s">
        <v>344</v>
      </c>
      <c r="E62" t="s">
        <v>344</v>
      </c>
      <c r="G62" t="s">
        <v>138</v>
      </c>
      <c r="H62" t="s">
        <v>14</v>
      </c>
      <c r="I62" t="s">
        <v>15</v>
      </c>
      <c r="J62">
        <v>1719</v>
      </c>
      <c r="K62" t="s">
        <v>16</v>
      </c>
      <c r="L62" t="s">
        <v>17</v>
      </c>
      <c r="M62">
        <v>43905</v>
      </c>
      <c r="O62">
        <v>45793</v>
      </c>
      <c r="P62">
        <v>1</v>
      </c>
    </row>
    <row r="63" spans="1:16" x14ac:dyDescent="0.2">
      <c r="A63" t="s">
        <v>160</v>
      </c>
      <c r="B63" t="s">
        <v>225</v>
      </c>
      <c r="C63" t="s">
        <v>226</v>
      </c>
      <c r="D63" t="s">
        <v>345</v>
      </c>
      <c r="E63" t="s">
        <v>345</v>
      </c>
      <c r="G63" t="s">
        <v>138</v>
      </c>
      <c r="H63" t="s">
        <v>14</v>
      </c>
      <c r="I63" t="s">
        <v>15</v>
      </c>
      <c r="J63">
        <v>1721</v>
      </c>
      <c r="K63" t="s">
        <v>23</v>
      </c>
      <c r="L63" t="s">
        <v>17</v>
      </c>
      <c r="M63">
        <v>39722</v>
      </c>
      <c r="O63">
        <v>45793</v>
      </c>
      <c r="P63">
        <v>1</v>
      </c>
    </row>
    <row r="64" spans="1:16" x14ac:dyDescent="0.2">
      <c r="A64" t="s">
        <v>160</v>
      </c>
      <c r="B64" t="s">
        <v>227</v>
      </c>
      <c r="C64" t="s">
        <v>228</v>
      </c>
      <c r="D64" t="s">
        <v>346</v>
      </c>
      <c r="E64" t="s">
        <v>346</v>
      </c>
      <c r="G64" t="s">
        <v>138</v>
      </c>
      <c r="H64" t="s">
        <v>14</v>
      </c>
      <c r="I64" t="s">
        <v>15</v>
      </c>
      <c r="J64">
        <v>1719</v>
      </c>
      <c r="K64" t="s">
        <v>16</v>
      </c>
      <c r="L64" t="s">
        <v>17</v>
      </c>
      <c r="M64">
        <v>42278</v>
      </c>
      <c r="O64">
        <v>45793</v>
      </c>
      <c r="P64">
        <v>1</v>
      </c>
    </row>
    <row r="65" spans="1:16" x14ac:dyDescent="0.2">
      <c r="A65" t="s">
        <v>160</v>
      </c>
      <c r="B65" t="s">
        <v>230</v>
      </c>
      <c r="C65" t="s">
        <v>231</v>
      </c>
      <c r="D65" t="s">
        <v>347</v>
      </c>
      <c r="E65" t="s">
        <v>348</v>
      </c>
      <c r="F65" t="s">
        <v>232</v>
      </c>
      <c r="G65" t="s">
        <v>138</v>
      </c>
      <c r="H65" t="s">
        <v>14</v>
      </c>
      <c r="I65" t="s">
        <v>15</v>
      </c>
      <c r="J65">
        <v>1717</v>
      </c>
      <c r="K65" t="s">
        <v>28</v>
      </c>
      <c r="L65" t="s">
        <v>17</v>
      </c>
      <c r="M65">
        <v>44013</v>
      </c>
      <c r="O65">
        <v>45793</v>
      </c>
      <c r="P65">
        <v>1</v>
      </c>
    </row>
    <row r="66" spans="1:16" x14ac:dyDescent="0.2">
      <c r="A66" t="s">
        <v>160</v>
      </c>
      <c r="B66" t="s">
        <v>233</v>
      </c>
      <c r="C66" t="s">
        <v>234</v>
      </c>
      <c r="D66" t="s">
        <v>349</v>
      </c>
      <c r="E66" t="s">
        <v>349</v>
      </c>
      <c r="G66" t="s">
        <v>138</v>
      </c>
      <c r="H66" t="s">
        <v>14</v>
      </c>
      <c r="I66" t="s">
        <v>15</v>
      </c>
      <c r="J66">
        <v>1717</v>
      </c>
      <c r="K66" t="s">
        <v>28</v>
      </c>
      <c r="L66" t="s">
        <v>17</v>
      </c>
      <c r="M66">
        <v>44835</v>
      </c>
      <c r="O66">
        <v>45793</v>
      </c>
      <c r="P66">
        <v>1</v>
      </c>
    </row>
    <row r="67" spans="1:16" x14ac:dyDescent="0.2">
      <c r="B67" t="s">
        <v>243</v>
      </c>
      <c r="C67" t="s">
        <v>244</v>
      </c>
      <c r="D67" t="s">
        <v>350</v>
      </c>
      <c r="E67" t="s">
        <v>351</v>
      </c>
      <c r="F67" t="s">
        <v>247</v>
      </c>
      <c r="G67" t="s">
        <v>248</v>
      </c>
    </row>
  </sheetData>
  <conditionalFormatting sqref="B2:B67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87155CDAEBE54E8A991CDFF09FE870" ma:contentTypeVersion="21" ma:contentTypeDescription="Create a new document." ma:contentTypeScope="" ma:versionID="07d22f826efb92a1b7f7a52cdc9ab0c0">
  <xsd:schema xmlns:xsd="http://www.w3.org/2001/XMLSchema" xmlns:xs="http://www.w3.org/2001/XMLSchema" xmlns:p="http://schemas.microsoft.com/office/2006/metadata/properties" xmlns:ns2="ccd2e96c-ba06-41a4-9d14-ee5d4767a409" xmlns:ns3="b238fc39-fcbb-4f8c-bfd3-e3a789f7784e" targetNamespace="http://schemas.microsoft.com/office/2006/metadata/properties" ma:root="true" ma:fieldsID="8f50f4dd1661db9c8120150ec829b0b2" ns2:_="" ns3:_="">
    <xsd:import namespace="ccd2e96c-ba06-41a4-9d14-ee5d4767a409"/>
    <xsd:import namespace="b238fc39-fcbb-4f8c-bfd3-e3a789f778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  <xsd:element ref="ns3:ProjectRole" minOccurs="0"/>
                <xsd:element ref="ns3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d2e96c-ba06-41a4-9d14-ee5d4767a40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edd41bb-06d5-49d8-8697-11a388b6c936}" ma:internalName="TaxCatchAll" ma:showField="CatchAllData" ma:web="ccd2e96c-ba06-41a4-9d14-ee5d4767a4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38fc39-fcbb-4f8c-bfd3-e3a789f778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733ad1a4-bcb6-4664-8873-2816a39d13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jectRole" ma:index="26" nillable="true" ma:displayName="Project Role" ma:format="Dropdown" ma:internalName="ProjectRole">
      <xsd:simpleType>
        <xsd:restriction base="dms:Choice">
          <xsd:enumeration value="Senior/Key Person"/>
          <xsd:enumeration value="Other Personnel"/>
          <xsd:enumeration value="Advisory Board"/>
          <xsd:enumeration value="Evaluator"/>
        </xsd:restriction>
      </xsd:simpleType>
    </xsd:element>
    <xsd:element name="Notes" ma:index="27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s xmlns="b238fc39-fcbb-4f8c-bfd3-e3a789f7784e" xsi:nil="true"/>
    <ProjectRole xmlns="b238fc39-fcbb-4f8c-bfd3-e3a789f7784e" xsi:nil="true"/>
    <lcf76f155ced4ddcb4097134ff3c332f xmlns="b238fc39-fcbb-4f8c-bfd3-e3a789f7784e">
      <Terms xmlns="http://schemas.microsoft.com/office/infopath/2007/PartnerControls"/>
    </lcf76f155ced4ddcb4097134ff3c332f>
    <TaxCatchAll xmlns="ccd2e96c-ba06-41a4-9d14-ee5d4767a4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D2B345-942D-47BF-B6C6-1B033E4D36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d2e96c-ba06-41a4-9d14-ee5d4767a409"/>
    <ds:schemaRef ds:uri="b238fc39-fcbb-4f8c-bfd3-e3a789f778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166091-2B00-4E90-8795-4D1635CC1D69}">
  <ds:schemaRefs>
    <ds:schemaRef ds:uri="http://purl.org/dc/terms/"/>
    <ds:schemaRef ds:uri="http://purl.org/dc/elements/1.1/"/>
    <ds:schemaRef ds:uri="http://schemas.microsoft.com/office/2006/metadata/properties"/>
    <ds:schemaRef ds:uri="http://purl.org/dc/dcmitype/"/>
    <ds:schemaRef ds:uri="ccd2e96c-ba06-41a4-9d14-ee5d4767a4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b238fc39-fcbb-4f8c-bfd3-e3a789f7784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0A3A9AA-2EC2-493E-BFC0-303A992724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Academic Employee - General (1)</vt:lpstr>
      <vt:lpstr>senate_faculty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Ypma-Wong, Mary</dc:creator>
  <cp:keywords/>
  <dc:description/>
  <cp:lastModifiedBy>Justin Sarkis</cp:lastModifiedBy>
  <cp:revision/>
  <dcterms:created xsi:type="dcterms:W3CDTF">2025-05-20T06:32:10Z</dcterms:created>
  <dcterms:modified xsi:type="dcterms:W3CDTF">2025-06-26T21:19:48Z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0x0101002B87155CDAEBE54E8A991CDFF09FE870</vt:lpwstr>
  </property>
  <property fmtid="{D5CDD505-2E9C-101B-9397-08002B2CF9AE}" pid="3" name="MediaServiceImageTags">
    <vt:lpwstr/>
  </property>
</Properties>
</file>